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1_ PrimaryStatVariance - A" sheetId="1" r:id="rId4"/>
    <sheet state="visible" name="Test2_ PrimaryStatScaling - A" sheetId="2" r:id="rId5"/>
    <sheet state="visible" name="Test3 - A" sheetId="3" r:id="rId6"/>
    <sheet state="visible" name="Test4" sheetId="4" r:id="rId7"/>
    <sheet state="visible" name="Test3 - Table 1" sheetId="5" r:id="rId8"/>
  </sheets>
  <definedNames/>
  <calcPr/>
  <extLst>
    <ext uri="GoogleSheetsCustomDataVersion1">
      <go:sheetsCustomData xmlns:go="http://customooxmlschemas.google.com/" r:id="rId9" roundtripDataSignature="AMtx7miapbBJgFBewJ+k3FEoMK6vnCbigw=="/>
    </ext>
  </extLst>
</workbook>
</file>

<file path=xl/sharedStrings.xml><?xml version="1.0" encoding="utf-8"?>
<sst xmlns="http://schemas.openxmlformats.org/spreadsheetml/2006/main" count="160" uniqueCount="43">
  <si>
    <t>Name: Test1</t>
  </si>
  <si>
    <t>Name: Test2</t>
  </si>
  <si>
    <t>Name: Test3</t>
  </si>
  <si>
    <t>Bonus (*X)</t>
  </si>
  <si>
    <t>Constitution</t>
  </si>
  <si>
    <t>Hit Points</t>
  </si>
  <si>
    <t>Exousia Capacity</t>
  </si>
  <si>
    <t>Strength</t>
  </si>
  <si>
    <t>Physical Damage</t>
  </si>
  <si>
    <t>Critical Hit Damage</t>
  </si>
  <si>
    <t>Dexterity</t>
  </si>
  <si>
    <t>Critical Hit Rate</t>
  </si>
  <si>
    <t>Accuracy</t>
  </si>
  <si>
    <t>Resonance</t>
  </si>
  <si>
    <t>Exousia Defense</t>
  </si>
  <si>
    <t>Exousia Recovery</t>
  </si>
  <si>
    <t>Agility</t>
  </si>
  <si>
    <t>Initiative</t>
  </si>
  <si>
    <t>Evasion</t>
  </si>
  <si>
    <t>Modifier (*Y)</t>
  </si>
  <si>
    <t>LULZ</t>
  </si>
  <si>
    <t>Stat Sum</t>
  </si>
  <si>
    <t>Level 1 - Base</t>
  </si>
  <si>
    <t>Level 1 - Max</t>
  </si>
  <si>
    <t>Level 5 - Base</t>
  </si>
  <si>
    <t>Level 5 - Max</t>
  </si>
  <si>
    <t>Level 10 - Base</t>
  </si>
  <si>
    <t>Level 10 - Max</t>
  </si>
  <si>
    <t>Level 20 - Base</t>
  </si>
  <si>
    <t>Level 20 - Max</t>
  </si>
  <si>
    <t>Level 30 - Base</t>
  </si>
  <si>
    <t>Level 30 - Max</t>
  </si>
  <si>
    <t>Level 40 - Base</t>
  </si>
  <si>
    <t>Level 40 - Max</t>
  </si>
  <si>
    <t>Level 50 - Base</t>
  </si>
  <si>
    <t>Level 50 - Max</t>
  </si>
  <si>
    <t>Level 70 - Base</t>
  </si>
  <si>
    <t>Level 70 - Max</t>
  </si>
  <si>
    <t>Level 90 - Base</t>
  </si>
  <si>
    <t>Level 90 - Max</t>
  </si>
  <si>
    <t>Level 100 - Base</t>
  </si>
  <si>
    <t>Level 100 - Max</t>
  </si>
  <si>
    <t>Armor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</si>
</sst>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</font>
    <font>
      <b/>
      <sz val="10.0"/>
      <color rgb="FF000000"/>
      <name val="Helvetica Neue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88F94E"/>
        <bgColor rgb="FF88F94E"/>
      </patternFill>
    </fill>
  </fills>
  <borders count="29">
    <border/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3F3F3F"/>
      </bottom>
    </border>
    <border>
      <left style="thin">
        <color rgb="FFA5A5A5"/>
      </left>
      <right style="medium">
        <color rgb="FF000000"/>
      </right>
      <top style="thin">
        <color rgb="FF000000"/>
      </top>
      <bottom style="thin">
        <color rgb="FF3F3F3F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3F3F3F"/>
      </bottom>
    </border>
    <border>
      <left style="medium">
        <color rgb="FF000000"/>
      </left>
      <right style="thin">
        <color rgb="FFA5A5A5"/>
      </right>
      <top style="thin">
        <color rgb="FF000000"/>
      </top>
      <bottom style="thin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3F3F3F"/>
      </bottom>
    </border>
    <border>
      <left style="thin">
        <color rgb="FF000000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medium">
        <color rgb="FF000000"/>
      </right>
      <top style="thin">
        <color rgb="FF3F3F3F"/>
      </top>
      <bottom style="thin">
        <color rgb="FFA5A5A5"/>
      </bottom>
    </border>
    <border>
      <left style="medium">
        <color rgb="FF000000"/>
      </left>
      <right style="medium">
        <color rgb="FF000000"/>
      </right>
      <top style="thin">
        <color rgb="FF3F3F3F"/>
      </top>
      <bottom style="thin">
        <color rgb="FFA5A5A5"/>
      </bottom>
    </border>
    <border>
      <left style="medium">
        <color rgb="FF000000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3F3F3F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medium">
        <color rgb="FF000000"/>
      </right>
      <top style="thin">
        <color rgb="FFA5A5A5"/>
      </top>
      <bottom style="thin">
        <color rgb="FFA5A5A5"/>
      </bottom>
    </border>
    <border>
      <left style="medium">
        <color rgb="FF000000"/>
      </left>
      <right style="medium">
        <color rgb="FF000000"/>
      </right>
      <top style="thin">
        <color rgb="FFA5A5A5"/>
      </top>
      <bottom style="thin">
        <color rgb="FFA5A5A5"/>
      </bottom>
    </border>
    <border>
      <left style="medium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medium">
        <color rgb="FF000000"/>
      </right>
      <top style="thin">
        <color rgb="FFA5A5A5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A5A5A5"/>
      </top>
      <bottom style="thin">
        <color rgb="FF000000"/>
      </bottom>
    </border>
    <border>
      <left style="medium">
        <color rgb="FF000000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2" fillId="2" fontId="1" numFmtId="49" xfId="0" applyAlignment="1" applyBorder="1" applyFont="1" applyNumberFormat="1">
      <alignment shrinkToFit="0" vertical="top" wrapText="1"/>
    </xf>
    <xf borderId="3" fillId="2" fontId="1" numFmtId="49" xfId="0" applyAlignment="1" applyBorder="1" applyFont="1" applyNumberFormat="1">
      <alignment shrinkToFit="0" vertical="top" wrapText="1"/>
    </xf>
    <xf borderId="4" fillId="2" fontId="1" numFmtId="49" xfId="0" applyAlignment="1" applyBorder="1" applyFont="1" applyNumberFormat="1">
      <alignment shrinkToFit="0" vertical="top" wrapText="1"/>
    </xf>
    <xf borderId="5" fillId="2" fontId="1" numFmtId="49" xfId="0" applyAlignment="1" applyBorder="1" applyFont="1" applyNumberFormat="1">
      <alignment shrinkToFit="0" vertical="top" wrapText="1"/>
    </xf>
    <xf borderId="6" fillId="2" fontId="1" numFmtId="49" xfId="0" applyAlignment="1" applyBorder="1" applyFont="1" applyNumberFormat="1">
      <alignment shrinkToFit="0" vertical="top" wrapText="1"/>
    </xf>
    <xf borderId="0" fillId="0" fontId="0" numFmtId="0" xfId="0" applyAlignment="1" applyFont="1">
      <alignment shrinkToFit="0" vertical="top" wrapText="1"/>
    </xf>
    <xf borderId="7" fillId="3" fontId="1" numFmtId="49" xfId="0" applyAlignment="1" applyBorder="1" applyFill="1" applyFont="1" applyNumberFormat="1">
      <alignment shrinkToFit="0" vertical="top" wrapText="1"/>
    </xf>
    <xf borderId="8" fillId="3" fontId="1" numFmtId="49" xfId="0" applyAlignment="1" applyBorder="1" applyFont="1" applyNumberFormat="1">
      <alignment shrinkToFit="0" vertical="top" wrapText="1"/>
    </xf>
    <xf borderId="9" fillId="0" fontId="0" numFmtId="0" xfId="0" applyAlignment="1" applyBorder="1" applyFont="1">
      <alignment shrinkToFit="0" vertical="top" wrapText="1"/>
    </xf>
    <xf borderId="10" fillId="0" fontId="0" numFmtId="0" xfId="0" applyAlignment="1" applyBorder="1" applyFont="1">
      <alignment shrinkToFit="0" vertical="top" wrapText="1"/>
    </xf>
    <xf borderId="5" fillId="3" fontId="1" numFmtId="49" xfId="0" applyAlignment="1" applyBorder="1" applyFont="1" applyNumberFormat="1">
      <alignment shrinkToFit="0" vertical="top" wrapText="1"/>
    </xf>
    <xf borderId="8" fillId="0" fontId="0" numFmtId="0" xfId="0" applyAlignment="1" applyBorder="1" applyFont="1">
      <alignment shrinkToFit="0" vertical="top" wrapText="1"/>
    </xf>
    <xf borderId="11" fillId="0" fontId="0" numFmtId="0" xfId="0" applyAlignment="1" applyBorder="1" applyFont="1">
      <alignment shrinkToFit="0" vertical="top" wrapText="1"/>
    </xf>
    <xf borderId="12" fillId="3" fontId="1" numFmtId="49" xfId="0" applyAlignment="1" applyBorder="1" applyFont="1" applyNumberFormat="1">
      <alignment shrinkToFit="0" vertical="top" wrapText="1"/>
    </xf>
    <xf borderId="13" fillId="3" fontId="1" numFmtId="0" xfId="0" applyAlignment="1" applyBorder="1" applyFont="1">
      <alignment shrinkToFit="0" vertical="top" wrapText="1"/>
    </xf>
    <xf borderId="14" fillId="4" fontId="0" numFmtId="0" xfId="0" applyAlignment="1" applyBorder="1" applyFill="1" applyFont="1">
      <alignment shrinkToFit="0" vertical="top" wrapText="1"/>
    </xf>
    <xf borderId="5" fillId="0" fontId="0" numFmtId="0" xfId="0" applyAlignment="1" applyBorder="1" applyFont="1">
      <alignment shrinkToFit="0" vertical="top" wrapText="1"/>
    </xf>
    <xf borderId="15" fillId="0" fontId="0" numFmtId="0" xfId="0" applyAlignment="1" applyBorder="1" applyFont="1">
      <alignment shrinkToFit="0" vertical="top" wrapText="1"/>
    </xf>
    <xf borderId="13" fillId="0" fontId="0" numFmtId="0" xfId="0" applyAlignment="1" applyBorder="1" applyFont="1">
      <alignment shrinkToFit="0" vertical="top" wrapText="1"/>
    </xf>
    <xf borderId="5" fillId="3" fontId="1" numFmtId="0" xfId="0" applyAlignment="1" applyBorder="1" applyFont="1">
      <alignment shrinkToFit="0" vertical="top" wrapText="1"/>
    </xf>
    <xf borderId="5" fillId="4" fontId="0" numFmtId="0" xfId="0" applyAlignment="1" applyBorder="1" applyFont="1">
      <alignment shrinkToFit="0" vertical="top" wrapText="1"/>
    </xf>
    <xf borderId="16" fillId="0" fontId="0" numFmtId="0" xfId="0" applyAlignment="1" applyBorder="1" applyFont="1">
      <alignment shrinkToFit="0" vertical="top" wrapText="1"/>
    </xf>
    <xf borderId="14" fillId="0" fontId="0" numFmtId="0" xfId="0" applyAlignment="1" applyBorder="1" applyFont="1">
      <alignment shrinkToFit="0" vertical="top" wrapText="1"/>
    </xf>
    <xf borderId="17" fillId="3" fontId="1" numFmtId="49" xfId="0" applyAlignment="1" applyBorder="1" applyFont="1" applyNumberFormat="1">
      <alignment shrinkToFit="0" vertical="top" wrapText="1"/>
    </xf>
    <xf borderId="18" fillId="3" fontId="1" numFmtId="0" xfId="0" applyAlignment="1" applyBorder="1" applyFont="1">
      <alignment shrinkToFit="0" vertical="top" wrapText="1"/>
    </xf>
    <xf borderId="19" fillId="0" fontId="0" numFmtId="0" xfId="0" applyAlignment="1" applyBorder="1" applyFont="1">
      <alignment shrinkToFit="0" vertical="top" wrapText="1"/>
    </xf>
    <xf borderId="20" fillId="0" fontId="0" numFmtId="0" xfId="0" applyAlignment="1" applyBorder="1" applyFont="1">
      <alignment shrinkToFit="0" vertical="top" wrapText="1"/>
    </xf>
    <xf borderId="18" fillId="0" fontId="0" numFmtId="0" xfId="0" applyAlignment="1" applyBorder="1" applyFont="1">
      <alignment shrinkToFit="0" vertical="top" wrapText="1"/>
    </xf>
    <xf borderId="21" fillId="0" fontId="0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2" fillId="2" fontId="1" numFmtId="0" xfId="0" applyAlignment="1" applyBorder="1" applyFont="1">
      <alignment shrinkToFit="0" vertical="top" wrapText="1"/>
    </xf>
    <xf borderId="22" fillId="2" fontId="1" numFmtId="49" xfId="0" applyAlignment="1" applyBorder="1" applyFont="1" applyNumberFormat="1">
      <alignment shrinkToFit="0" vertical="top" wrapText="1"/>
    </xf>
    <xf borderId="23" fillId="3" fontId="1" numFmtId="0" xfId="0" applyAlignment="1" applyBorder="1" applyFont="1">
      <alignment shrinkToFit="0" vertical="top" wrapText="1"/>
    </xf>
    <xf borderId="24" fillId="0" fontId="0" numFmtId="0" xfId="0" applyAlignment="1" applyBorder="1" applyFont="1">
      <alignment shrinkToFit="0" vertical="top" wrapText="1"/>
    </xf>
    <xf borderId="25" fillId="0" fontId="0" numFmtId="0" xfId="0" applyAlignment="1" applyBorder="1" applyFont="1">
      <alignment shrinkToFit="0" vertical="top" wrapText="1"/>
    </xf>
    <xf borderId="26" fillId="3" fontId="1" numFmtId="49" xfId="0" applyAlignment="1" applyBorder="1" applyFont="1" applyNumberFormat="1">
      <alignment shrinkToFit="0" vertical="top" wrapText="1"/>
    </xf>
    <xf borderId="27" fillId="0" fontId="0" numFmtId="0" xfId="0" applyAlignment="1" applyBorder="1" applyFont="1">
      <alignment shrinkToFit="0" vertical="top" wrapText="1"/>
    </xf>
    <xf borderId="28" fillId="0" fontId="0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71"/>
    <col customWidth="1" min="2" max="2" width="9.86"/>
    <col customWidth="1" min="3" max="3" width="11.43"/>
    <col customWidth="1" min="4" max="4" width="9.29"/>
    <col customWidth="1" min="5" max="5" width="15.29"/>
    <col customWidth="1" min="6" max="6" width="8.43"/>
    <col customWidth="1" min="7" max="7" width="15.29"/>
    <col customWidth="1" min="8" max="8" width="17.14"/>
    <col customWidth="1" min="9" max="9" width="8.86"/>
    <col customWidth="1" min="10" max="10" width="14.14"/>
    <col customWidth="1" min="11" max="11" width="9.0"/>
    <col customWidth="1" min="12" max="12" width="10.71"/>
    <col customWidth="1" min="13" max="13" width="14.86"/>
    <col customWidth="1" min="14" max="14" width="15.86"/>
    <col customWidth="1" min="15" max="15" width="6.71"/>
    <col customWidth="1" min="16" max="16" width="8.29"/>
    <col customWidth="1" min="17" max="17" width="7.86"/>
    <col customWidth="1" min="18" max="26" width="16.29"/>
  </cols>
  <sheetData>
    <row r="1" ht="40.5" customHeight="1">
      <c r="A1" s="1" t="s">
        <v>0</v>
      </c>
      <c r="B1" s="2" t="s">
        <v>3</v>
      </c>
      <c r="C1" s="3" t="s">
        <v>4</v>
      </c>
      <c r="D1" s="4" t="s">
        <v>5</v>
      </c>
      <c r="E1" s="2" t="s">
        <v>6</v>
      </c>
      <c r="F1" s="3" t="s">
        <v>7</v>
      </c>
      <c r="G1" s="4" t="s">
        <v>8</v>
      </c>
      <c r="H1" s="2" t="s">
        <v>9</v>
      </c>
      <c r="I1" s="3" t="s">
        <v>10</v>
      </c>
      <c r="J1" s="4" t="s">
        <v>11</v>
      </c>
      <c r="K1" s="2" t="s">
        <v>12</v>
      </c>
      <c r="L1" s="3" t="s">
        <v>13</v>
      </c>
      <c r="M1" s="4" t="s">
        <v>14</v>
      </c>
      <c r="N1" s="2" t="s">
        <v>15</v>
      </c>
      <c r="O1" s="3" t="s">
        <v>16</v>
      </c>
      <c r="P1" s="4" t="s">
        <v>17</v>
      </c>
      <c r="Q1" s="6" t="s">
        <v>18</v>
      </c>
      <c r="R1" s="7"/>
      <c r="S1" s="7"/>
      <c r="T1" s="7"/>
      <c r="U1" s="7"/>
      <c r="V1" s="7"/>
      <c r="W1" s="7"/>
      <c r="X1" s="7"/>
      <c r="Y1" s="7"/>
      <c r="Z1" s="7"/>
    </row>
    <row r="2" ht="20.25" customHeight="1">
      <c r="A2" s="8" t="s">
        <v>19</v>
      </c>
      <c r="B2" s="9" t="s">
        <v>20</v>
      </c>
      <c r="C2" s="10">
        <v>1.0</v>
      </c>
      <c r="D2" s="11">
        <v>2.0</v>
      </c>
      <c r="E2" s="13">
        <v>2.0</v>
      </c>
      <c r="F2" s="10">
        <v>1.0</v>
      </c>
      <c r="G2" s="11">
        <v>2.5</v>
      </c>
      <c r="H2" s="13">
        <v>1.5</v>
      </c>
      <c r="I2" s="10">
        <v>1.0</v>
      </c>
      <c r="J2" s="11">
        <v>1.0</v>
      </c>
      <c r="K2" s="13">
        <v>3.0</v>
      </c>
      <c r="L2" s="10">
        <v>1.0</v>
      </c>
      <c r="M2" s="11">
        <v>2.5</v>
      </c>
      <c r="N2" s="13">
        <v>1.5</v>
      </c>
      <c r="O2" s="10">
        <v>1.0</v>
      </c>
      <c r="P2" s="11">
        <v>1.0</v>
      </c>
      <c r="Q2" s="14">
        <v>3.0</v>
      </c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5" t="s">
        <v>22</v>
      </c>
      <c r="B3" s="16">
        <v>1.0</v>
      </c>
      <c r="C3" s="17">
        <v>5.0</v>
      </c>
      <c r="D3" s="19">
        <f>C3*D2*$B3</f>
        <v>10</v>
      </c>
      <c r="E3" s="20">
        <f>C3*E2*$B3</f>
        <v>10</v>
      </c>
      <c r="F3" s="17">
        <v>5.0</v>
      </c>
      <c r="G3" s="19">
        <f>F3*G2*$B3</f>
        <v>12.5</v>
      </c>
      <c r="H3" s="20">
        <f>F3*H2*$B3</f>
        <v>7.5</v>
      </c>
      <c r="I3" s="17">
        <v>5.0</v>
      </c>
      <c r="J3" s="19">
        <f>I3*J2*$B3</f>
        <v>5</v>
      </c>
      <c r="K3" s="20">
        <f t="shared" ref="K3:K22" si="1">I3*K$2*$B3</f>
        <v>15</v>
      </c>
      <c r="L3" s="17">
        <v>5.0</v>
      </c>
      <c r="M3" s="19">
        <f>L3*M2*$B3</f>
        <v>12.5</v>
      </c>
      <c r="N3" s="20">
        <f>N2*L3*$B3</f>
        <v>7.5</v>
      </c>
      <c r="O3" s="17">
        <v>5.0</v>
      </c>
      <c r="P3" s="19">
        <f>O3*P2*$B3</f>
        <v>5</v>
      </c>
      <c r="Q3" s="23">
        <f>Q2*O3*$B3</f>
        <v>15</v>
      </c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15" t="s">
        <v>23</v>
      </c>
      <c r="B4" s="16">
        <v>1.1</v>
      </c>
      <c r="C4" s="24">
        <f>C3*$B4</f>
        <v>5.5</v>
      </c>
      <c r="D4" s="19">
        <f t="shared" ref="D4:D22" si="2">C4*D$2*$B4</f>
        <v>12.1</v>
      </c>
      <c r="E4" s="20">
        <f t="shared" ref="E4:E22" si="3">C4*$E$2*$B4</f>
        <v>12.1</v>
      </c>
      <c r="F4" s="24">
        <f>F3*$B4</f>
        <v>5.5</v>
      </c>
      <c r="G4" s="19">
        <f t="shared" ref="G4:G22" si="4">F4*G$2*$B4</f>
        <v>15.125</v>
      </c>
      <c r="H4" s="20">
        <f t="shared" ref="H4:H22" si="5">F4*$H$2*$B4</f>
        <v>9.075</v>
      </c>
      <c r="I4" s="24">
        <f>I3*$B4</f>
        <v>5.5</v>
      </c>
      <c r="J4" s="19">
        <f t="shared" ref="J4:J22" si="6">I4*J$2*$B4</f>
        <v>6.05</v>
      </c>
      <c r="K4" s="20">
        <f t="shared" si="1"/>
        <v>18.15</v>
      </c>
      <c r="L4" s="24">
        <f>L3*$B4</f>
        <v>5.5</v>
      </c>
      <c r="M4" s="19">
        <f t="shared" ref="M4:M22" si="7">L4*M$2*$B4</f>
        <v>15.125</v>
      </c>
      <c r="N4" s="20">
        <f t="shared" ref="N4:N22" si="8">L4*N$2*$B4</f>
        <v>9.075</v>
      </c>
      <c r="O4" s="24">
        <f>O3*$B4</f>
        <v>5.5</v>
      </c>
      <c r="P4" s="19">
        <f t="shared" ref="P4:P22" si="9">O4*P$2*$B4</f>
        <v>6.05</v>
      </c>
      <c r="Q4" s="23">
        <f t="shared" ref="Q4:Q22" si="10">O4*Q$2*$B4</f>
        <v>18.15</v>
      </c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15" t="s">
        <v>24</v>
      </c>
      <c r="B5" s="16">
        <v>1.0</v>
      </c>
      <c r="C5" s="17">
        <v>20.0</v>
      </c>
      <c r="D5" s="19">
        <f t="shared" si="2"/>
        <v>40</v>
      </c>
      <c r="E5" s="20">
        <f t="shared" si="3"/>
        <v>40</v>
      </c>
      <c r="F5" s="17">
        <v>20.0</v>
      </c>
      <c r="G5" s="19">
        <f t="shared" si="4"/>
        <v>50</v>
      </c>
      <c r="H5" s="20">
        <f t="shared" si="5"/>
        <v>30</v>
      </c>
      <c r="I5" s="17">
        <v>20.0</v>
      </c>
      <c r="J5" s="19">
        <f t="shared" si="6"/>
        <v>20</v>
      </c>
      <c r="K5" s="20">
        <f t="shared" si="1"/>
        <v>60</v>
      </c>
      <c r="L5" s="17">
        <v>20.0</v>
      </c>
      <c r="M5" s="19">
        <f t="shared" si="7"/>
        <v>50</v>
      </c>
      <c r="N5" s="20">
        <f t="shared" si="8"/>
        <v>30</v>
      </c>
      <c r="O5" s="17">
        <v>20.0</v>
      </c>
      <c r="P5" s="19">
        <f t="shared" si="9"/>
        <v>20</v>
      </c>
      <c r="Q5" s="23">
        <f t="shared" si="10"/>
        <v>60</v>
      </c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15" t="s">
        <v>25</v>
      </c>
      <c r="B6" s="16">
        <v>1.2</v>
      </c>
      <c r="C6" s="24">
        <f>C5*$B6</f>
        <v>24</v>
      </c>
      <c r="D6" s="19">
        <f t="shared" si="2"/>
        <v>57.6</v>
      </c>
      <c r="E6" s="20">
        <f t="shared" si="3"/>
        <v>57.6</v>
      </c>
      <c r="F6" s="24">
        <f>F5*$B6</f>
        <v>24</v>
      </c>
      <c r="G6" s="19">
        <f t="shared" si="4"/>
        <v>72</v>
      </c>
      <c r="H6" s="20">
        <f t="shared" si="5"/>
        <v>43.2</v>
      </c>
      <c r="I6" s="24">
        <f>I5*$B6</f>
        <v>24</v>
      </c>
      <c r="J6" s="19">
        <f t="shared" si="6"/>
        <v>28.8</v>
      </c>
      <c r="K6" s="20">
        <f t="shared" si="1"/>
        <v>86.4</v>
      </c>
      <c r="L6" s="24">
        <f>L5*$B6</f>
        <v>24</v>
      </c>
      <c r="M6" s="19">
        <f t="shared" si="7"/>
        <v>72</v>
      </c>
      <c r="N6" s="20">
        <f t="shared" si="8"/>
        <v>43.2</v>
      </c>
      <c r="O6" s="24">
        <f>O5*$B6</f>
        <v>24</v>
      </c>
      <c r="P6" s="19">
        <f t="shared" si="9"/>
        <v>28.8</v>
      </c>
      <c r="Q6" s="23">
        <f t="shared" si="10"/>
        <v>86.4</v>
      </c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15" t="s">
        <v>26</v>
      </c>
      <c r="B7" s="16">
        <v>1.0</v>
      </c>
      <c r="C7" s="17">
        <v>30.0</v>
      </c>
      <c r="D7" s="19">
        <f t="shared" si="2"/>
        <v>60</v>
      </c>
      <c r="E7" s="20">
        <f t="shared" si="3"/>
        <v>60</v>
      </c>
      <c r="F7" s="17">
        <v>30.0</v>
      </c>
      <c r="G7" s="19">
        <f t="shared" si="4"/>
        <v>75</v>
      </c>
      <c r="H7" s="20">
        <f t="shared" si="5"/>
        <v>45</v>
      </c>
      <c r="I7" s="17">
        <v>30.0</v>
      </c>
      <c r="J7" s="19">
        <f t="shared" si="6"/>
        <v>30</v>
      </c>
      <c r="K7" s="20">
        <f t="shared" si="1"/>
        <v>90</v>
      </c>
      <c r="L7" s="17">
        <v>30.0</v>
      </c>
      <c r="M7" s="19">
        <f t="shared" si="7"/>
        <v>75</v>
      </c>
      <c r="N7" s="20">
        <f t="shared" si="8"/>
        <v>45</v>
      </c>
      <c r="O7" s="17">
        <v>30.0</v>
      </c>
      <c r="P7" s="19">
        <f t="shared" si="9"/>
        <v>30</v>
      </c>
      <c r="Q7" s="23">
        <f t="shared" si="10"/>
        <v>90</v>
      </c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15" t="s">
        <v>27</v>
      </c>
      <c r="B8" s="16">
        <v>1.3</v>
      </c>
      <c r="C8" s="24">
        <f>C7*$B8</f>
        <v>39</v>
      </c>
      <c r="D8" s="19">
        <f t="shared" si="2"/>
        <v>101.4</v>
      </c>
      <c r="E8" s="20">
        <f t="shared" si="3"/>
        <v>101.4</v>
      </c>
      <c r="F8" s="24">
        <f>F7*$B8</f>
        <v>39</v>
      </c>
      <c r="G8" s="19">
        <f t="shared" si="4"/>
        <v>126.75</v>
      </c>
      <c r="H8" s="20">
        <f t="shared" si="5"/>
        <v>76.05</v>
      </c>
      <c r="I8" s="24">
        <f>I7*$B8</f>
        <v>39</v>
      </c>
      <c r="J8" s="19">
        <f t="shared" si="6"/>
        <v>50.7</v>
      </c>
      <c r="K8" s="20">
        <f t="shared" si="1"/>
        <v>152.1</v>
      </c>
      <c r="L8" s="24">
        <f>L7*$B8</f>
        <v>39</v>
      </c>
      <c r="M8" s="19">
        <f t="shared" si="7"/>
        <v>126.75</v>
      </c>
      <c r="N8" s="20">
        <f t="shared" si="8"/>
        <v>76.05</v>
      </c>
      <c r="O8" s="24">
        <f>O7*$B8</f>
        <v>39</v>
      </c>
      <c r="P8" s="19">
        <f t="shared" si="9"/>
        <v>50.7</v>
      </c>
      <c r="Q8" s="23">
        <f t="shared" si="10"/>
        <v>152.1</v>
      </c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15" t="s">
        <v>28</v>
      </c>
      <c r="B9" s="16">
        <v>1.0</v>
      </c>
      <c r="C9" s="17">
        <v>50.0</v>
      </c>
      <c r="D9" s="19">
        <f t="shared" si="2"/>
        <v>100</v>
      </c>
      <c r="E9" s="20">
        <f t="shared" si="3"/>
        <v>100</v>
      </c>
      <c r="F9" s="17">
        <v>50.0</v>
      </c>
      <c r="G9" s="19">
        <f t="shared" si="4"/>
        <v>125</v>
      </c>
      <c r="H9" s="20">
        <f t="shared" si="5"/>
        <v>75</v>
      </c>
      <c r="I9" s="17">
        <v>50.0</v>
      </c>
      <c r="J9" s="19">
        <f t="shared" si="6"/>
        <v>50</v>
      </c>
      <c r="K9" s="20">
        <f t="shared" si="1"/>
        <v>150</v>
      </c>
      <c r="L9" s="17">
        <v>50.0</v>
      </c>
      <c r="M9" s="19">
        <f t="shared" si="7"/>
        <v>125</v>
      </c>
      <c r="N9" s="20">
        <f t="shared" si="8"/>
        <v>75</v>
      </c>
      <c r="O9" s="17">
        <v>50.0</v>
      </c>
      <c r="P9" s="19">
        <f t="shared" si="9"/>
        <v>50</v>
      </c>
      <c r="Q9" s="23">
        <f t="shared" si="10"/>
        <v>150</v>
      </c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15" t="s">
        <v>29</v>
      </c>
      <c r="B10" s="16">
        <v>1.4</v>
      </c>
      <c r="C10" s="24">
        <f>C9*$B10</f>
        <v>70</v>
      </c>
      <c r="D10" s="19">
        <f t="shared" si="2"/>
        <v>196</v>
      </c>
      <c r="E10" s="20">
        <f t="shared" si="3"/>
        <v>196</v>
      </c>
      <c r="F10" s="24">
        <f>F9*$B10</f>
        <v>70</v>
      </c>
      <c r="G10" s="19">
        <f t="shared" si="4"/>
        <v>245</v>
      </c>
      <c r="H10" s="20">
        <f t="shared" si="5"/>
        <v>147</v>
      </c>
      <c r="I10" s="24">
        <f>I9*$B10</f>
        <v>70</v>
      </c>
      <c r="J10" s="19">
        <f t="shared" si="6"/>
        <v>98</v>
      </c>
      <c r="K10" s="20">
        <f t="shared" si="1"/>
        <v>294</v>
      </c>
      <c r="L10" s="24">
        <f>L9*$B10</f>
        <v>70</v>
      </c>
      <c r="M10" s="19">
        <f t="shared" si="7"/>
        <v>245</v>
      </c>
      <c r="N10" s="20">
        <f t="shared" si="8"/>
        <v>147</v>
      </c>
      <c r="O10" s="24">
        <f>O9*$B10</f>
        <v>70</v>
      </c>
      <c r="P10" s="19">
        <f t="shared" si="9"/>
        <v>98</v>
      </c>
      <c r="Q10" s="23">
        <f t="shared" si="10"/>
        <v>294</v>
      </c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15" t="s">
        <v>30</v>
      </c>
      <c r="B11" s="16">
        <v>1.0</v>
      </c>
      <c r="C11" s="17">
        <v>100.0</v>
      </c>
      <c r="D11" s="19">
        <f t="shared" si="2"/>
        <v>200</v>
      </c>
      <c r="E11" s="20">
        <f t="shared" si="3"/>
        <v>200</v>
      </c>
      <c r="F11" s="17">
        <v>100.0</v>
      </c>
      <c r="G11" s="19">
        <f t="shared" si="4"/>
        <v>250</v>
      </c>
      <c r="H11" s="20">
        <f t="shared" si="5"/>
        <v>150</v>
      </c>
      <c r="I11" s="17">
        <v>100.0</v>
      </c>
      <c r="J11" s="19">
        <f t="shared" si="6"/>
        <v>100</v>
      </c>
      <c r="K11" s="20">
        <f t="shared" si="1"/>
        <v>300</v>
      </c>
      <c r="L11" s="17">
        <v>100.0</v>
      </c>
      <c r="M11" s="19">
        <f t="shared" si="7"/>
        <v>250</v>
      </c>
      <c r="N11" s="20">
        <f t="shared" si="8"/>
        <v>150</v>
      </c>
      <c r="O11" s="17">
        <v>100.0</v>
      </c>
      <c r="P11" s="19">
        <f t="shared" si="9"/>
        <v>100</v>
      </c>
      <c r="Q11" s="23">
        <f t="shared" si="10"/>
        <v>300</v>
      </c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15" t="s">
        <v>31</v>
      </c>
      <c r="B12" s="16">
        <v>1.5</v>
      </c>
      <c r="C12" s="24">
        <f>C11*$B12</f>
        <v>150</v>
      </c>
      <c r="D12" s="19">
        <f t="shared" si="2"/>
        <v>450</v>
      </c>
      <c r="E12" s="20">
        <f t="shared" si="3"/>
        <v>450</v>
      </c>
      <c r="F12" s="24">
        <f>F11*$B12</f>
        <v>150</v>
      </c>
      <c r="G12" s="19">
        <f t="shared" si="4"/>
        <v>562.5</v>
      </c>
      <c r="H12" s="20">
        <f t="shared" si="5"/>
        <v>337.5</v>
      </c>
      <c r="I12" s="24">
        <f>I11*$B12</f>
        <v>150</v>
      </c>
      <c r="J12" s="19">
        <f t="shared" si="6"/>
        <v>225</v>
      </c>
      <c r="K12" s="20">
        <f t="shared" si="1"/>
        <v>675</v>
      </c>
      <c r="L12" s="24">
        <f>L11*$B12</f>
        <v>150</v>
      </c>
      <c r="M12" s="19">
        <f t="shared" si="7"/>
        <v>562.5</v>
      </c>
      <c r="N12" s="20">
        <f t="shared" si="8"/>
        <v>337.5</v>
      </c>
      <c r="O12" s="24">
        <f>O11*$B12</f>
        <v>150</v>
      </c>
      <c r="P12" s="19">
        <f t="shared" si="9"/>
        <v>225</v>
      </c>
      <c r="Q12" s="23">
        <f t="shared" si="10"/>
        <v>675</v>
      </c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15" t="s">
        <v>32</v>
      </c>
      <c r="B13" s="16">
        <v>1.0</v>
      </c>
      <c r="C13" s="17">
        <v>150.0</v>
      </c>
      <c r="D13" s="19">
        <f t="shared" si="2"/>
        <v>300</v>
      </c>
      <c r="E13" s="20">
        <f t="shared" si="3"/>
        <v>300</v>
      </c>
      <c r="F13" s="17">
        <v>150.0</v>
      </c>
      <c r="G13" s="19">
        <f t="shared" si="4"/>
        <v>375</v>
      </c>
      <c r="H13" s="20">
        <f t="shared" si="5"/>
        <v>225</v>
      </c>
      <c r="I13" s="17">
        <v>150.0</v>
      </c>
      <c r="J13" s="19">
        <f t="shared" si="6"/>
        <v>150</v>
      </c>
      <c r="K13" s="20">
        <f t="shared" si="1"/>
        <v>450</v>
      </c>
      <c r="L13" s="17">
        <v>150.0</v>
      </c>
      <c r="M13" s="19">
        <f t="shared" si="7"/>
        <v>375</v>
      </c>
      <c r="N13" s="20">
        <f t="shared" si="8"/>
        <v>225</v>
      </c>
      <c r="O13" s="17">
        <v>150.0</v>
      </c>
      <c r="P13" s="19">
        <f t="shared" si="9"/>
        <v>150</v>
      </c>
      <c r="Q13" s="23">
        <f t="shared" si="10"/>
        <v>450</v>
      </c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15" t="s">
        <v>33</v>
      </c>
      <c r="B14" s="16">
        <v>1.6</v>
      </c>
      <c r="C14" s="24">
        <f>C13*$B14</f>
        <v>240</v>
      </c>
      <c r="D14" s="19">
        <f t="shared" si="2"/>
        <v>768</v>
      </c>
      <c r="E14" s="20">
        <f t="shared" si="3"/>
        <v>768</v>
      </c>
      <c r="F14" s="24">
        <f>F13*$B14</f>
        <v>240</v>
      </c>
      <c r="G14" s="19">
        <f t="shared" si="4"/>
        <v>960</v>
      </c>
      <c r="H14" s="20">
        <f t="shared" si="5"/>
        <v>576</v>
      </c>
      <c r="I14" s="24">
        <f>I13*$B14</f>
        <v>240</v>
      </c>
      <c r="J14" s="19">
        <f t="shared" si="6"/>
        <v>384</v>
      </c>
      <c r="K14" s="20">
        <f t="shared" si="1"/>
        <v>1152</v>
      </c>
      <c r="L14" s="24">
        <f>L13*$B14</f>
        <v>240</v>
      </c>
      <c r="M14" s="19">
        <f t="shared" si="7"/>
        <v>960</v>
      </c>
      <c r="N14" s="20">
        <f t="shared" si="8"/>
        <v>576</v>
      </c>
      <c r="O14" s="24">
        <f>O13*$B14</f>
        <v>240</v>
      </c>
      <c r="P14" s="19">
        <f t="shared" si="9"/>
        <v>384</v>
      </c>
      <c r="Q14" s="23">
        <f t="shared" si="10"/>
        <v>1152</v>
      </c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15" t="s">
        <v>34</v>
      </c>
      <c r="B15" s="16">
        <v>1.0</v>
      </c>
      <c r="C15" s="17">
        <v>200.0</v>
      </c>
      <c r="D15" s="19">
        <f t="shared" si="2"/>
        <v>400</v>
      </c>
      <c r="E15" s="20">
        <f t="shared" si="3"/>
        <v>400</v>
      </c>
      <c r="F15" s="17">
        <v>200.0</v>
      </c>
      <c r="G15" s="19">
        <f t="shared" si="4"/>
        <v>500</v>
      </c>
      <c r="H15" s="20">
        <f t="shared" si="5"/>
        <v>300</v>
      </c>
      <c r="I15" s="17">
        <v>200.0</v>
      </c>
      <c r="J15" s="19">
        <f t="shared" si="6"/>
        <v>200</v>
      </c>
      <c r="K15" s="20">
        <f t="shared" si="1"/>
        <v>600</v>
      </c>
      <c r="L15" s="17">
        <v>200.0</v>
      </c>
      <c r="M15" s="19">
        <f t="shared" si="7"/>
        <v>500</v>
      </c>
      <c r="N15" s="20">
        <f t="shared" si="8"/>
        <v>300</v>
      </c>
      <c r="O15" s="17">
        <v>200.0</v>
      </c>
      <c r="P15" s="19">
        <f t="shared" si="9"/>
        <v>200</v>
      </c>
      <c r="Q15" s="23">
        <f t="shared" si="10"/>
        <v>600</v>
      </c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15" t="s">
        <v>35</v>
      </c>
      <c r="B16" s="16">
        <v>1.7</v>
      </c>
      <c r="C16" s="24">
        <f>C15*$B16</f>
        <v>340</v>
      </c>
      <c r="D16" s="19">
        <f t="shared" si="2"/>
        <v>1156</v>
      </c>
      <c r="E16" s="20">
        <f t="shared" si="3"/>
        <v>1156</v>
      </c>
      <c r="F16" s="24">
        <f>F15*$B16</f>
        <v>340</v>
      </c>
      <c r="G16" s="19">
        <f t="shared" si="4"/>
        <v>1445</v>
      </c>
      <c r="H16" s="20">
        <f t="shared" si="5"/>
        <v>867</v>
      </c>
      <c r="I16" s="24">
        <f>I15*$B16</f>
        <v>340</v>
      </c>
      <c r="J16" s="19">
        <f t="shared" si="6"/>
        <v>578</v>
      </c>
      <c r="K16" s="20">
        <f t="shared" si="1"/>
        <v>1734</v>
      </c>
      <c r="L16" s="24">
        <f>L15*$B16</f>
        <v>340</v>
      </c>
      <c r="M16" s="19">
        <f t="shared" si="7"/>
        <v>1445</v>
      </c>
      <c r="N16" s="20">
        <f t="shared" si="8"/>
        <v>867</v>
      </c>
      <c r="O16" s="24">
        <f>O15*$B16</f>
        <v>340</v>
      </c>
      <c r="P16" s="19">
        <f t="shared" si="9"/>
        <v>578</v>
      </c>
      <c r="Q16" s="23">
        <f t="shared" si="10"/>
        <v>1734</v>
      </c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15" t="s">
        <v>36</v>
      </c>
      <c r="B17" s="16">
        <v>1.0</v>
      </c>
      <c r="C17" s="17">
        <v>300.0</v>
      </c>
      <c r="D17" s="19">
        <f t="shared" si="2"/>
        <v>600</v>
      </c>
      <c r="E17" s="20">
        <f t="shared" si="3"/>
        <v>600</v>
      </c>
      <c r="F17" s="17">
        <v>300.0</v>
      </c>
      <c r="G17" s="19">
        <f t="shared" si="4"/>
        <v>750</v>
      </c>
      <c r="H17" s="20">
        <f t="shared" si="5"/>
        <v>450</v>
      </c>
      <c r="I17" s="17">
        <v>300.0</v>
      </c>
      <c r="J17" s="19">
        <f t="shared" si="6"/>
        <v>300</v>
      </c>
      <c r="K17" s="20">
        <f t="shared" si="1"/>
        <v>900</v>
      </c>
      <c r="L17" s="17">
        <v>300.0</v>
      </c>
      <c r="M17" s="19">
        <f t="shared" si="7"/>
        <v>750</v>
      </c>
      <c r="N17" s="20">
        <f t="shared" si="8"/>
        <v>450</v>
      </c>
      <c r="O17" s="17">
        <v>300.0</v>
      </c>
      <c r="P17" s="19">
        <f t="shared" si="9"/>
        <v>300</v>
      </c>
      <c r="Q17" s="23">
        <f t="shared" si="10"/>
        <v>900</v>
      </c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15" t="s">
        <v>37</v>
      </c>
      <c r="B18" s="16">
        <v>1.8</v>
      </c>
      <c r="C18" s="24">
        <f>C17*$B18</f>
        <v>540</v>
      </c>
      <c r="D18" s="19">
        <f t="shared" si="2"/>
        <v>1944</v>
      </c>
      <c r="E18" s="20">
        <f t="shared" si="3"/>
        <v>1944</v>
      </c>
      <c r="F18" s="24">
        <f>F17*$B18</f>
        <v>540</v>
      </c>
      <c r="G18" s="19">
        <f t="shared" si="4"/>
        <v>2430</v>
      </c>
      <c r="H18" s="20">
        <f t="shared" si="5"/>
        <v>1458</v>
      </c>
      <c r="I18" s="24">
        <f>I17*$B18</f>
        <v>540</v>
      </c>
      <c r="J18" s="19">
        <f t="shared" si="6"/>
        <v>972</v>
      </c>
      <c r="K18" s="20">
        <f t="shared" si="1"/>
        <v>2916</v>
      </c>
      <c r="L18" s="24">
        <f>L17*$B18</f>
        <v>540</v>
      </c>
      <c r="M18" s="19">
        <f t="shared" si="7"/>
        <v>2430</v>
      </c>
      <c r="N18" s="20">
        <f t="shared" si="8"/>
        <v>1458</v>
      </c>
      <c r="O18" s="24">
        <f>O17*$B18</f>
        <v>540</v>
      </c>
      <c r="P18" s="19">
        <f t="shared" si="9"/>
        <v>972</v>
      </c>
      <c r="Q18" s="23">
        <f t="shared" si="10"/>
        <v>2916</v>
      </c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15" t="s">
        <v>38</v>
      </c>
      <c r="B19" s="16">
        <v>1.0</v>
      </c>
      <c r="C19" s="17">
        <v>400.0</v>
      </c>
      <c r="D19" s="19">
        <f t="shared" si="2"/>
        <v>800</v>
      </c>
      <c r="E19" s="20">
        <f t="shared" si="3"/>
        <v>800</v>
      </c>
      <c r="F19" s="17">
        <v>400.0</v>
      </c>
      <c r="G19" s="19">
        <f t="shared" si="4"/>
        <v>1000</v>
      </c>
      <c r="H19" s="20">
        <f t="shared" si="5"/>
        <v>600</v>
      </c>
      <c r="I19" s="17">
        <v>400.0</v>
      </c>
      <c r="J19" s="19">
        <f t="shared" si="6"/>
        <v>400</v>
      </c>
      <c r="K19" s="20">
        <f t="shared" si="1"/>
        <v>1200</v>
      </c>
      <c r="L19" s="17">
        <v>400.0</v>
      </c>
      <c r="M19" s="19">
        <f t="shared" si="7"/>
        <v>1000</v>
      </c>
      <c r="N19" s="20">
        <f t="shared" si="8"/>
        <v>600</v>
      </c>
      <c r="O19" s="17">
        <v>400.0</v>
      </c>
      <c r="P19" s="19">
        <f t="shared" si="9"/>
        <v>400</v>
      </c>
      <c r="Q19" s="23">
        <f t="shared" si="10"/>
        <v>1200</v>
      </c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15" t="s">
        <v>39</v>
      </c>
      <c r="B20" s="16">
        <v>1.9</v>
      </c>
      <c r="C20" s="24">
        <f>C19*$B20</f>
        <v>760</v>
      </c>
      <c r="D20" s="19">
        <f t="shared" si="2"/>
        <v>2888</v>
      </c>
      <c r="E20" s="20">
        <f t="shared" si="3"/>
        <v>2888</v>
      </c>
      <c r="F20" s="24">
        <f>F19*$B20</f>
        <v>760</v>
      </c>
      <c r="G20" s="19">
        <f t="shared" si="4"/>
        <v>3610</v>
      </c>
      <c r="H20" s="20">
        <f t="shared" si="5"/>
        <v>2166</v>
      </c>
      <c r="I20" s="24">
        <f>I19*$B20</f>
        <v>760</v>
      </c>
      <c r="J20" s="19">
        <f t="shared" si="6"/>
        <v>1444</v>
      </c>
      <c r="K20" s="20">
        <f t="shared" si="1"/>
        <v>4332</v>
      </c>
      <c r="L20" s="24">
        <f>L19*$B20</f>
        <v>760</v>
      </c>
      <c r="M20" s="19">
        <f t="shared" si="7"/>
        <v>3610</v>
      </c>
      <c r="N20" s="20">
        <f t="shared" si="8"/>
        <v>2166</v>
      </c>
      <c r="O20" s="24">
        <f>O19*$B20</f>
        <v>760</v>
      </c>
      <c r="P20" s="19">
        <f t="shared" si="9"/>
        <v>1444</v>
      </c>
      <c r="Q20" s="23">
        <f t="shared" si="10"/>
        <v>4332</v>
      </c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15" t="s">
        <v>40</v>
      </c>
      <c r="B21" s="16">
        <v>1.0</v>
      </c>
      <c r="C21" s="17">
        <v>500.0</v>
      </c>
      <c r="D21" s="19">
        <f t="shared" si="2"/>
        <v>1000</v>
      </c>
      <c r="E21" s="20">
        <f t="shared" si="3"/>
        <v>1000</v>
      </c>
      <c r="F21" s="17">
        <v>500.0</v>
      </c>
      <c r="G21" s="19">
        <f t="shared" si="4"/>
        <v>1250</v>
      </c>
      <c r="H21" s="20">
        <f t="shared" si="5"/>
        <v>750</v>
      </c>
      <c r="I21" s="17">
        <v>500.0</v>
      </c>
      <c r="J21" s="19">
        <f t="shared" si="6"/>
        <v>500</v>
      </c>
      <c r="K21" s="20">
        <f t="shared" si="1"/>
        <v>1500</v>
      </c>
      <c r="L21" s="17">
        <v>500.0</v>
      </c>
      <c r="M21" s="19">
        <f t="shared" si="7"/>
        <v>1250</v>
      </c>
      <c r="N21" s="20">
        <f t="shared" si="8"/>
        <v>750</v>
      </c>
      <c r="O21" s="17">
        <v>500.0</v>
      </c>
      <c r="P21" s="19">
        <f t="shared" si="9"/>
        <v>500</v>
      </c>
      <c r="Q21" s="23">
        <f t="shared" si="10"/>
        <v>1500</v>
      </c>
      <c r="R21" s="7"/>
      <c r="S21" s="7"/>
      <c r="T21" s="7"/>
      <c r="U21" s="7"/>
      <c r="V21" s="7"/>
      <c r="W21" s="7"/>
      <c r="X21" s="7"/>
      <c r="Y21" s="7"/>
      <c r="Z21" s="7"/>
    </row>
    <row r="22" ht="20.25" customHeight="1">
      <c r="A22" s="25" t="s">
        <v>41</v>
      </c>
      <c r="B22" s="26">
        <v>2.0</v>
      </c>
      <c r="C22" s="27">
        <f>C21*$B22</f>
        <v>1000</v>
      </c>
      <c r="D22" s="28">
        <f t="shared" si="2"/>
        <v>4000</v>
      </c>
      <c r="E22" s="29">
        <f t="shared" si="3"/>
        <v>4000</v>
      </c>
      <c r="F22" s="27">
        <f>F21*$B22</f>
        <v>1000</v>
      </c>
      <c r="G22" s="28">
        <f t="shared" si="4"/>
        <v>5000</v>
      </c>
      <c r="H22" s="29">
        <f t="shared" si="5"/>
        <v>3000</v>
      </c>
      <c r="I22" s="27">
        <f>I21*$B22</f>
        <v>1000</v>
      </c>
      <c r="J22" s="28">
        <f t="shared" si="6"/>
        <v>2000</v>
      </c>
      <c r="K22" s="29">
        <f t="shared" si="1"/>
        <v>6000</v>
      </c>
      <c r="L22" s="27">
        <f>L21*$B22</f>
        <v>1000</v>
      </c>
      <c r="M22" s="28">
        <f t="shared" si="7"/>
        <v>5000</v>
      </c>
      <c r="N22" s="29">
        <f t="shared" si="8"/>
        <v>3000</v>
      </c>
      <c r="O22" s="27">
        <f>O21*$B22</f>
        <v>1000</v>
      </c>
      <c r="P22" s="28">
        <f t="shared" si="9"/>
        <v>2000</v>
      </c>
      <c r="Q22" s="30">
        <f t="shared" si="10"/>
        <v>6000</v>
      </c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9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9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9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9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9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9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9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9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9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9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9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9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9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9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9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9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9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9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9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9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9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9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9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9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9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9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9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9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9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9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9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9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9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9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9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9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9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9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9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9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9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9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9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9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9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9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9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9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9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9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9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9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9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9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9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9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9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9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9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9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9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9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9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9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9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9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9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9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9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9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9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9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9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9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9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9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9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9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9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9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9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9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9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9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9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9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9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9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9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9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9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9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9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9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9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9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9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9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9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9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9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9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9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9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9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9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9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9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9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9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9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9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9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9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9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9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9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9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9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9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9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9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9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9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9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9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9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9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9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9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9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9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9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9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9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9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9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9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9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9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9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9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9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9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9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9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9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9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9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9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9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9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9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9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9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9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9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9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9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9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9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9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9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9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9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9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9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9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9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9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9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9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9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9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9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9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9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9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9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9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9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9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9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9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9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9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9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9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9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9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9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9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9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9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9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9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9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9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9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9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9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9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9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9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9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9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9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9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9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9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9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9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9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9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9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9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9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9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9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9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9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9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9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9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9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9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9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9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9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9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9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9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9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9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9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9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9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9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9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9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9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9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9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9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9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9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9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9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9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9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9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9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9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9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9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9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9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9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9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9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9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9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9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9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9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9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9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9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9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9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9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9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9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9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9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9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9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9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9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9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9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9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9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9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9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9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9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9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9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9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9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9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9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9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9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9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9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9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9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9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9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9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9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9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9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9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9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9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9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9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9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9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9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9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9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9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9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9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9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9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9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9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9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9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9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9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9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9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9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9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9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9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9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9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9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9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9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9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9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9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9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9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9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9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9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9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9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9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9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9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9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9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9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9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9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9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9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9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9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9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9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9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9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9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9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9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9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9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9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9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9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9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9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9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9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9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9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9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9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9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9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9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9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9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9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9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9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9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9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9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9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9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9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9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9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9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9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9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9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9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9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9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9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9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9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9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9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9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9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9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9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9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9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9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9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9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9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9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9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9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9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9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9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9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9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9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9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9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9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9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9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9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9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9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9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9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9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9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9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9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9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9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9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9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9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9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9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9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9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9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9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9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9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9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9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9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9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9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9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9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9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9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9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9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9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9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9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9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9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9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9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9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9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9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9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9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9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9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9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9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9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9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9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9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9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9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9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9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9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9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9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9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9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9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9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9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9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9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9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9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9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9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9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9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9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9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9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9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9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9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9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9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9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9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9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9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9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9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9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9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9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9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9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9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9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9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9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9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9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9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9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9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9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9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9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9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9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9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9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9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9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9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9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9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9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9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9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9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9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9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9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9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9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9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9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9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9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9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9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9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9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9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71"/>
    <col customWidth="1" min="2" max="2" width="9.86"/>
    <col customWidth="1" min="3" max="3" width="11.43"/>
    <col customWidth="1" min="4" max="4" width="9.29"/>
    <col customWidth="1" min="5" max="5" width="15.29"/>
    <col customWidth="1" min="6" max="6" width="8.43"/>
    <col customWidth="1" min="7" max="7" width="15.29"/>
    <col customWidth="1" min="8" max="8" width="17.14"/>
    <col customWidth="1" min="9" max="9" width="8.86"/>
    <col customWidth="1" min="10" max="10" width="14.14"/>
    <col customWidth="1" min="11" max="11" width="9.0"/>
    <col customWidth="1" min="12" max="12" width="10.71"/>
    <col customWidth="1" min="13" max="13" width="14.86"/>
    <col customWidth="1" min="14" max="14" width="15.86"/>
    <col customWidth="1" min="15" max="15" width="6.71"/>
    <col customWidth="1" min="16" max="16" width="8.29"/>
    <col customWidth="1" min="17" max="17" width="7.86"/>
    <col customWidth="1" min="18" max="26" width="16.29"/>
  </cols>
  <sheetData>
    <row r="1" ht="20.25" customHeight="1">
      <c r="A1" s="1" t="s">
        <v>1</v>
      </c>
      <c r="B1" s="2" t="s">
        <v>3</v>
      </c>
      <c r="C1" s="3" t="s">
        <v>4</v>
      </c>
      <c r="D1" s="4" t="s">
        <v>5</v>
      </c>
      <c r="E1" s="2" t="s">
        <v>6</v>
      </c>
      <c r="F1" s="3" t="s">
        <v>7</v>
      </c>
      <c r="G1" s="4" t="s">
        <v>8</v>
      </c>
      <c r="H1" s="2" t="s">
        <v>9</v>
      </c>
      <c r="I1" s="3" t="s">
        <v>10</v>
      </c>
      <c r="J1" s="4" t="s">
        <v>11</v>
      </c>
      <c r="K1" s="2" t="s">
        <v>12</v>
      </c>
      <c r="L1" s="3" t="s">
        <v>13</v>
      </c>
      <c r="M1" s="4" t="s">
        <v>14</v>
      </c>
      <c r="N1" s="2" t="s">
        <v>15</v>
      </c>
      <c r="O1" s="3" t="s">
        <v>16</v>
      </c>
      <c r="P1" s="4" t="s">
        <v>17</v>
      </c>
      <c r="Q1" s="6" t="s">
        <v>18</v>
      </c>
      <c r="R1" s="7"/>
      <c r="S1" s="7"/>
      <c r="T1" s="7"/>
      <c r="U1" s="7"/>
      <c r="V1" s="7"/>
      <c r="W1" s="7"/>
      <c r="X1" s="7"/>
      <c r="Y1" s="7"/>
      <c r="Z1" s="7"/>
    </row>
    <row r="2" ht="20.25" customHeight="1">
      <c r="A2" s="8" t="s">
        <v>19</v>
      </c>
      <c r="B2" s="9" t="s">
        <v>20</v>
      </c>
      <c r="C2" s="10">
        <v>1.0</v>
      </c>
      <c r="D2" s="11">
        <v>2.0</v>
      </c>
      <c r="E2" s="13">
        <v>2.0</v>
      </c>
      <c r="F2" s="10">
        <v>1.0</v>
      </c>
      <c r="G2" s="11">
        <v>2.5</v>
      </c>
      <c r="H2" s="13">
        <v>1.5</v>
      </c>
      <c r="I2" s="10">
        <v>1.0</v>
      </c>
      <c r="J2" s="11">
        <v>1.0</v>
      </c>
      <c r="K2" s="13">
        <v>3.0</v>
      </c>
      <c r="L2" s="10">
        <v>1.0</v>
      </c>
      <c r="M2" s="11">
        <v>2.5</v>
      </c>
      <c r="N2" s="13">
        <v>1.5</v>
      </c>
      <c r="O2" s="10">
        <v>1.0</v>
      </c>
      <c r="P2" s="11">
        <v>1.0</v>
      </c>
      <c r="Q2" s="14">
        <v>3.0</v>
      </c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5" t="s">
        <v>22</v>
      </c>
      <c r="B3" s="16">
        <v>1.0</v>
      </c>
      <c r="C3" s="17">
        <v>5.0</v>
      </c>
      <c r="D3" s="19">
        <f>C3*D2*$B3</f>
        <v>10</v>
      </c>
      <c r="E3" s="20">
        <f>C3*E2*$B3</f>
        <v>10</v>
      </c>
      <c r="F3" s="17">
        <v>5.0</v>
      </c>
      <c r="G3" s="19">
        <f>F3*G2*$B3</f>
        <v>12.5</v>
      </c>
      <c r="H3" s="20">
        <f>F3*H2*$B3</f>
        <v>7.5</v>
      </c>
      <c r="I3" s="17">
        <v>5.0</v>
      </c>
      <c r="J3" s="19">
        <f>I3*J2*$B3</f>
        <v>5</v>
      </c>
      <c r="K3" s="20">
        <f t="shared" ref="K3:K22" si="1">I3*K$2*$B3</f>
        <v>15</v>
      </c>
      <c r="L3" s="17">
        <v>5.0</v>
      </c>
      <c r="M3" s="19">
        <f>L3*M2*$B3</f>
        <v>12.5</v>
      </c>
      <c r="N3" s="20">
        <f>N2*L3*$B3</f>
        <v>7.5</v>
      </c>
      <c r="O3" s="17">
        <v>5.0</v>
      </c>
      <c r="P3" s="19">
        <f>O3*P2*$B3</f>
        <v>5</v>
      </c>
      <c r="Q3" s="23">
        <f>Q2*O3*$B3</f>
        <v>15</v>
      </c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15" t="s">
        <v>23</v>
      </c>
      <c r="B4" s="16">
        <v>1.1</v>
      </c>
      <c r="C4" s="24">
        <f>C3*$B4</f>
        <v>5.5</v>
      </c>
      <c r="D4" s="19">
        <f t="shared" ref="D4:D22" si="2">C4*D$2*$B4</f>
        <v>12.1</v>
      </c>
      <c r="E4" s="20">
        <f t="shared" ref="E4:E22" si="3">C4*$E$2*$B4</f>
        <v>12.1</v>
      </c>
      <c r="F4" s="24">
        <f>F3*$B4</f>
        <v>5.5</v>
      </c>
      <c r="G4" s="19">
        <f t="shared" ref="G4:G22" si="4">F4*G$2*$B4</f>
        <v>15.125</v>
      </c>
      <c r="H4" s="20">
        <f t="shared" ref="H4:H22" si="5">F4*$H$2*$B4</f>
        <v>9.075</v>
      </c>
      <c r="I4" s="24">
        <f>I3*$B4</f>
        <v>5.5</v>
      </c>
      <c r="J4" s="19">
        <f t="shared" ref="J4:J22" si="6">I4*J$2*$B4</f>
        <v>6.05</v>
      </c>
      <c r="K4" s="20">
        <f t="shared" si="1"/>
        <v>18.15</v>
      </c>
      <c r="L4" s="24">
        <f>L3*$B4</f>
        <v>5.5</v>
      </c>
      <c r="M4" s="19">
        <f t="shared" ref="M4:M22" si="7">L4*M$2*$B4</f>
        <v>15.125</v>
      </c>
      <c r="N4" s="20">
        <f t="shared" ref="N4:N22" si="8">L4*N$2*$B4</f>
        <v>9.075</v>
      </c>
      <c r="O4" s="24">
        <f>O3*$B4</f>
        <v>5.5</v>
      </c>
      <c r="P4" s="19">
        <f t="shared" ref="P4:P22" si="9">O4*P$2*$B4</f>
        <v>6.05</v>
      </c>
      <c r="Q4" s="23">
        <f t="shared" ref="Q4:Q22" si="10">O4*Q$2*$B4</f>
        <v>18.15</v>
      </c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15" t="s">
        <v>24</v>
      </c>
      <c r="B5" s="16">
        <v>1.0</v>
      </c>
      <c r="C5" s="17">
        <f>C3*4</f>
        <v>20</v>
      </c>
      <c r="D5" s="19">
        <f t="shared" si="2"/>
        <v>40</v>
      </c>
      <c r="E5" s="20">
        <f t="shared" si="3"/>
        <v>40</v>
      </c>
      <c r="F5" s="17">
        <f>F3*4</f>
        <v>20</v>
      </c>
      <c r="G5" s="19">
        <f t="shared" si="4"/>
        <v>50</v>
      </c>
      <c r="H5" s="20">
        <f t="shared" si="5"/>
        <v>30</v>
      </c>
      <c r="I5" s="17">
        <f>I3*4</f>
        <v>20</v>
      </c>
      <c r="J5" s="19">
        <f t="shared" si="6"/>
        <v>20</v>
      </c>
      <c r="K5" s="20">
        <f t="shared" si="1"/>
        <v>60</v>
      </c>
      <c r="L5" s="17">
        <f>L3*4</f>
        <v>20</v>
      </c>
      <c r="M5" s="19">
        <f t="shared" si="7"/>
        <v>50</v>
      </c>
      <c r="N5" s="20">
        <f t="shared" si="8"/>
        <v>30</v>
      </c>
      <c r="O5" s="17">
        <f>O3*4</f>
        <v>20</v>
      </c>
      <c r="P5" s="19">
        <f t="shared" si="9"/>
        <v>20</v>
      </c>
      <c r="Q5" s="23">
        <f t="shared" si="10"/>
        <v>60</v>
      </c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15" t="s">
        <v>25</v>
      </c>
      <c r="B6" s="16">
        <v>1.2</v>
      </c>
      <c r="C6" s="24">
        <f>C5*$B6</f>
        <v>24</v>
      </c>
      <c r="D6" s="19">
        <f t="shared" si="2"/>
        <v>57.6</v>
      </c>
      <c r="E6" s="20">
        <f t="shared" si="3"/>
        <v>57.6</v>
      </c>
      <c r="F6" s="24">
        <f>F5*$B6</f>
        <v>24</v>
      </c>
      <c r="G6" s="19">
        <f t="shared" si="4"/>
        <v>72</v>
      </c>
      <c r="H6" s="20">
        <f t="shared" si="5"/>
        <v>43.2</v>
      </c>
      <c r="I6" s="24">
        <f>I5*$B6</f>
        <v>24</v>
      </c>
      <c r="J6" s="19">
        <f t="shared" si="6"/>
        <v>28.8</v>
      </c>
      <c r="K6" s="20">
        <f t="shared" si="1"/>
        <v>86.4</v>
      </c>
      <c r="L6" s="24">
        <f>L5*$B6</f>
        <v>24</v>
      </c>
      <c r="M6" s="19">
        <f t="shared" si="7"/>
        <v>72</v>
      </c>
      <c r="N6" s="20">
        <f t="shared" si="8"/>
        <v>43.2</v>
      </c>
      <c r="O6" s="24">
        <f>O5*$B6</f>
        <v>24</v>
      </c>
      <c r="P6" s="19">
        <f t="shared" si="9"/>
        <v>28.8</v>
      </c>
      <c r="Q6" s="23">
        <f t="shared" si="10"/>
        <v>86.4</v>
      </c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15" t="s">
        <v>26</v>
      </c>
      <c r="B7" s="16">
        <v>1.0</v>
      </c>
      <c r="C7" s="17">
        <f>C5*1.5</f>
        <v>30</v>
      </c>
      <c r="D7" s="19">
        <f t="shared" si="2"/>
        <v>60</v>
      </c>
      <c r="E7" s="20">
        <f t="shared" si="3"/>
        <v>60</v>
      </c>
      <c r="F7" s="17">
        <f>F5*1.5</f>
        <v>30</v>
      </c>
      <c r="G7" s="19">
        <f t="shared" si="4"/>
        <v>75</v>
      </c>
      <c r="H7" s="20">
        <f t="shared" si="5"/>
        <v>45</v>
      </c>
      <c r="I7" s="17">
        <f>I5*1.5</f>
        <v>30</v>
      </c>
      <c r="J7" s="19">
        <f t="shared" si="6"/>
        <v>30</v>
      </c>
      <c r="K7" s="20">
        <f t="shared" si="1"/>
        <v>90</v>
      </c>
      <c r="L7" s="17">
        <f>L5*1.5</f>
        <v>30</v>
      </c>
      <c r="M7" s="19">
        <f t="shared" si="7"/>
        <v>75</v>
      </c>
      <c r="N7" s="20">
        <f t="shared" si="8"/>
        <v>45</v>
      </c>
      <c r="O7" s="17">
        <f>O5*1.5</f>
        <v>30</v>
      </c>
      <c r="P7" s="19">
        <f t="shared" si="9"/>
        <v>30</v>
      </c>
      <c r="Q7" s="23">
        <f t="shared" si="10"/>
        <v>90</v>
      </c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15" t="s">
        <v>27</v>
      </c>
      <c r="B8" s="16">
        <v>1.3</v>
      </c>
      <c r="C8" s="24">
        <f>C7*$B8</f>
        <v>39</v>
      </c>
      <c r="D8" s="19">
        <f t="shared" si="2"/>
        <v>101.4</v>
      </c>
      <c r="E8" s="20">
        <f t="shared" si="3"/>
        <v>101.4</v>
      </c>
      <c r="F8" s="24">
        <f>F7*$B8</f>
        <v>39</v>
      </c>
      <c r="G8" s="19">
        <f t="shared" si="4"/>
        <v>126.75</v>
      </c>
      <c r="H8" s="20">
        <f t="shared" si="5"/>
        <v>76.05</v>
      </c>
      <c r="I8" s="24">
        <f>I7*$B8</f>
        <v>39</v>
      </c>
      <c r="J8" s="19">
        <f t="shared" si="6"/>
        <v>50.7</v>
      </c>
      <c r="K8" s="20">
        <f t="shared" si="1"/>
        <v>152.1</v>
      </c>
      <c r="L8" s="24">
        <f>L7*$B8</f>
        <v>39</v>
      </c>
      <c r="M8" s="19">
        <f t="shared" si="7"/>
        <v>126.75</v>
      </c>
      <c r="N8" s="20">
        <f t="shared" si="8"/>
        <v>76.05</v>
      </c>
      <c r="O8" s="24">
        <f>O7*$B8</f>
        <v>39</v>
      </c>
      <c r="P8" s="19">
        <f t="shared" si="9"/>
        <v>50.7</v>
      </c>
      <c r="Q8" s="23">
        <f t="shared" si="10"/>
        <v>152.1</v>
      </c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15" t="s">
        <v>28</v>
      </c>
      <c r="B9" s="16">
        <v>1.0</v>
      </c>
      <c r="C9" s="17">
        <f>C7*5/3</f>
        <v>50</v>
      </c>
      <c r="D9" s="19">
        <f t="shared" si="2"/>
        <v>100</v>
      </c>
      <c r="E9" s="20">
        <f t="shared" si="3"/>
        <v>100</v>
      </c>
      <c r="F9" s="17">
        <f>F7*5/3</f>
        <v>50</v>
      </c>
      <c r="G9" s="19">
        <f t="shared" si="4"/>
        <v>125</v>
      </c>
      <c r="H9" s="20">
        <f t="shared" si="5"/>
        <v>75</v>
      </c>
      <c r="I9" s="17">
        <f>I7*5/3</f>
        <v>50</v>
      </c>
      <c r="J9" s="19">
        <f t="shared" si="6"/>
        <v>50</v>
      </c>
      <c r="K9" s="20">
        <f t="shared" si="1"/>
        <v>150</v>
      </c>
      <c r="L9" s="17">
        <f>L7*5/3</f>
        <v>50</v>
      </c>
      <c r="M9" s="19">
        <f t="shared" si="7"/>
        <v>125</v>
      </c>
      <c r="N9" s="20">
        <f t="shared" si="8"/>
        <v>75</v>
      </c>
      <c r="O9" s="17">
        <f>O7*5/3</f>
        <v>50</v>
      </c>
      <c r="P9" s="19">
        <f t="shared" si="9"/>
        <v>50</v>
      </c>
      <c r="Q9" s="23">
        <f t="shared" si="10"/>
        <v>150</v>
      </c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15" t="s">
        <v>29</v>
      </c>
      <c r="B10" s="16">
        <v>1.4</v>
      </c>
      <c r="C10" s="24">
        <f>C9*$B10</f>
        <v>70</v>
      </c>
      <c r="D10" s="19">
        <f t="shared" si="2"/>
        <v>196</v>
      </c>
      <c r="E10" s="20">
        <f t="shared" si="3"/>
        <v>196</v>
      </c>
      <c r="F10" s="24">
        <f>F9*$B10</f>
        <v>70</v>
      </c>
      <c r="G10" s="19">
        <f t="shared" si="4"/>
        <v>245</v>
      </c>
      <c r="H10" s="20">
        <f t="shared" si="5"/>
        <v>147</v>
      </c>
      <c r="I10" s="24">
        <f>I9*$B10</f>
        <v>70</v>
      </c>
      <c r="J10" s="19">
        <f t="shared" si="6"/>
        <v>98</v>
      </c>
      <c r="K10" s="20">
        <f t="shared" si="1"/>
        <v>294</v>
      </c>
      <c r="L10" s="24">
        <f>L9*$B10</f>
        <v>70</v>
      </c>
      <c r="M10" s="19">
        <f t="shared" si="7"/>
        <v>245</v>
      </c>
      <c r="N10" s="20">
        <f t="shared" si="8"/>
        <v>147</v>
      </c>
      <c r="O10" s="24">
        <f>O9*$B10</f>
        <v>70</v>
      </c>
      <c r="P10" s="19">
        <f t="shared" si="9"/>
        <v>98</v>
      </c>
      <c r="Q10" s="23">
        <f t="shared" si="10"/>
        <v>294</v>
      </c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15" t="s">
        <v>30</v>
      </c>
      <c r="B11" s="16">
        <v>1.0</v>
      </c>
      <c r="C11" s="17">
        <f>C9*2</f>
        <v>100</v>
      </c>
      <c r="D11" s="19">
        <f t="shared" si="2"/>
        <v>200</v>
      </c>
      <c r="E11" s="20">
        <f t="shared" si="3"/>
        <v>200</v>
      </c>
      <c r="F11" s="17">
        <f>F9*2</f>
        <v>100</v>
      </c>
      <c r="G11" s="19">
        <f t="shared" si="4"/>
        <v>250</v>
      </c>
      <c r="H11" s="20">
        <f t="shared" si="5"/>
        <v>150</v>
      </c>
      <c r="I11" s="17">
        <f>I9*2</f>
        <v>100</v>
      </c>
      <c r="J11" s="19">
        <f t="shared" si="6"/>
        <v>100</v>
      </c>
      <c r="K11" s="20">
        <f t="shared" si="1"/>
        <v>300</v>
      </c>
      <c r="L11" s="17">
        <f>L9*2</f>
        <v>100</v>
      </c>
      <c r="M11" s="19">
        <f t="shared" si="7"/>
        <v>250</v>
      </c>
      <c r="N11" s="20">
        <f t="shared" si="8"/>
        <v>150</v>
      </c>
      <c r="O11" s="17">
        <f>O9*2</f>
        <v>100</v>
      </c>
      <c r="P11" s="19">
        <f t="shared" si="9"/>
        <v>100</v>
      </c>
      <c r="Q11" s="23">
        <f t="shared" si="10"/>
        <v>300</v>
      </c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15" t="s">
        <v>31</v>
      </c>
      <c r="B12" s="16">
        <v>1.5</v>
      </c>
      <c r="C12" s="24">
        <f>C11*$B12</f>
        <v>150</v>
      </c>
      <c r="D12" s="19">
        <f t="shared" si="2"/>
        <v>450</v>
      </c>
      <c r="E12" s="20">
        <f t="shared" si="3"/>
        <v>450</v>
      </c>
      <c r="F12" s="24">
        <f>F11*$B12</f>
        <v>150</v>
      </c>
      <c r="G12" s="19">
        <f t="shared" si="4"/>
        <v>562.5</v>
      </c>
      <c r="H12" s="20">
        <f t="shared" si="5"/>
        <v>337.5</v>
      </c>
      <c r="I12" s="24">
        <f>I11*$B12</f>
        <v>150</v>
      </c>
      <c r="J12" s="19">
        <f t="shared" si="6"/>
        <v>225</v>
      </c>
      <c r="K12" s="20">
        <f t="shared" si="1"/>
        <v>675</v>
      </c>
      <c r="L12" s="24">
        <f>L11*$B12</f>
        <v>150</v>
      </c>
      <c r="M12" s="19">
        <f t="shared" si="7"/>
        <v>562.5</v>
      </c>
      <c r="N12" s="20">
        <f t="shared" si="8"/>
        <v>337.5</v>
      </c>
      <c r="O12" s="24">
        <f>O11*$B12</f>
        <v>150</v>
      </c>
      <c r="P12" s="19">
        <f t="shared" si="9"/>
        <v>225</v>
      </c>
      <c r="Q12" s="23">
        <f t="shared" si="10"/>
        <v>675</v>
      </c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15" t="s">
        <v>32</v>
      </c>
      <c r="B13" s="16">
        <v>1.0</v>
      </c>
      <c r="C13" s="17">
        <f>C11*1.5</f>
        <v>150</v>
      </c>
      <c r="D13" s="19">
        <f t="shared" si="2"/>
        <v>300</v>
      </c>
      <c r="E13" s="20">
        <f t="shared" si="3"/>
        <v>300</v>
      </c>
      <c r="F13" s="17">
        <f>F11*1.5</f>
        <v>150</v>
      </c>
      <c r="G13" s="19">
        <f t="shared" si="4"/>
        <v>375</v>
      </c>
      <c r="H13" s="20">
        <f t="shared" si="5"/>
        <v>225</v>
      </c>
      <c r="I13" s="17">
        <f>I11*1.5</f>
        <v>150</v>
      </c>
      <c r="J13" s="19">
        <f t="shared" si="6"/>
        <v>150</v>
      </c>
      <c r="K13" s="20">
        <f t="shared" si="1"/>
        <v>450</v>
      </c>
      <c r="L13" s="17">
        <f>L11*1.5</f>
        <v>150</v>
      </c>
      <c r="M13" s="19">
        <f t="shared" si="7"/>
        <v>375</v>
      </c>
      <c r="N13" s="20">
        <f t="shared" si="8"/>
        <v>225</v>
      </c>
      <c r="O13" s="17">
        <f>O11*1.5</f>
        <v>150</v>
      </c>
      <c r="P13" s="19">
        <f t="shared" si="9"/>
        <v>150</v>
      </c>
      <c r="Q13" s="23">
        <f t="shared" si="10"/>
        <v>450</v>
      </c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15" t="s">
        <v>33</v>
      </c>
      <c r="B14" s="16">
        <v>1.6</v>
      </c>
      <c r="C14" s="24">
        <f>C13*$B14</f>
        <v>240</v>
      </c>
      <c r="D14" s="19">
        <f t="shared" si="2"/>
        <v>768</v>
      </c>
      <c r="E14" s="20">
        <f t="shared" si="3"/>
        <v>768</v>
      </c>
      <c r="F14" s="24">
        <f>F13*$B14</f>
        <v>240</v>
      </c>
      <c r="G14" s="19">
        <f t="shared" si="4"/>
        <v>960</v>
      </c>
      <c r="H14" s="20">
        <f t="shared" si="5"/>
        <v>576</v>
      </c>
      <c r="I14" s="24">
        <f>I13*$B14</f>
        <v>240</v>
      </c>
      <c r="J14" s="19">
        <f t="shared" si="6"/>
        <v>384</v>
      </c>
      <c r="K14" s="20">
        <f t="shared" si="1"/>
        <v>1152</v>
      </c>
      <c r="L14" s="24">
        <f>L13*$B14</f>
        <v>240</v>
      </c>
      <c r="M14" s="19">
        <f t="shared" si="7"/>
        <v>960</v>
      </c>
      <c r="N14" s="20">
        <f t="shared" si="8"/>
        <v>576</v>
      </c>
      <c r="O14" s="24">
        <f>O13*$B14</f>
        <v>240</v>
      </c>
      <c r="P14" s="19">
        <f t="shared" si="9"/>
        <v>384</v>
      </c>
      <c r="Q14" s="23">
        <f t="shared" si="10"/>
        <v>1152</v>
      </c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15" t="s">
        <v>34</v>
      </c>
      <c r="B15" s="16">
        <v>1.0</v>
      </c>
      <c r="C15" s="17">
        <f>C13*4/3</f>
        <v>200</v>
      </c>
      <c r="D15" s="19">
        <f t="shared" si="2"/>
        <v>400</v>
      </c>
      <c r="E15" s="20">
        <f t="shared" si="3"/>
        <v>400</v>
      </c>
      <c r="F15" s="17">
        <f>F13*4/3</f>
        <v>200</v>
      </c>
      <c r="G15" s="19">
        <f t="shared" si="4"/>
        <v>500</v>
      </c>
      <c r="H15" s="20">
        <f t="shared" si="5"/>
        <v>300</v>
      </c>
      <c r="I15" s="17">
        <f>I13*4/3</f>
        <v>200</v>
      </c>
      <c r="J15" s="19">
        <f t="shared" si="6"/>
        <v>200</v>
      </c>
      <c r="K15" s="20">
        <f t="shared" si="1"/>
        <v>600</v>
      </c>
      <c r="L15" s="17">
        <f>L13*4/3</f>
        <v>200</v>
      </c>
      <c r="M15" s="19">
        <f t="shared" si="7"/>
        <v>500</v>
      </c>
      <c r="N15" s="20">
        <f t="shared" si="8"/>
        <v>300</v>
      </c>
      <c r="O15" s="17">
        <f>O13*4/3</f>
        <v>200</v>
      </c>
      <c r="P15" s="19">
        <f t="shared" si="9"/>
        <v>200</v>
      </c>
      <c r="Q15" s="23">
        <f t="shared" si="10"/>
        <v>600</v>
      </c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15" t="s">
        <v>35</v>
      </c>
      <c r="B16" s="16">
        <v>1.7</v>
      </c>
      <c r="C16" s="24">
        <f>C15*$B16</f>
        <v>340</v>
      </c>
      <c r="D16" s="19">
        <f t="shared" si="2"/>
        <v>1156</v>
      </c>
      <c r="E16" s="20">
        <f t="shared" si="3"/>
        <v>1156</v>
      </c>
      <c r="F16" s="24">
        <f>F15*$B16</f>
        <v>340</v>
      </c>
      <c r="G16" s="19">
        <f t="shared" si="4"/>
        <v>1445</v>
      </c>
      <c r="H16" s="20">
        <f t="shared" si="5"/>
        <v>867</v>
      </c>
      <c r="I16" s="24">
        <f>I15*$B16</f>
        <v>340</v>
      </c>
      <c r="J16" s="19">
        <f t="shared" si="6"/>
        <v>578</v>
      </c>
      <c r="K16" s="20">
        <f t="shared" si="1"/>
        <v>1734</v>
      </c>
      <c r="L16" s="24">
        <f>L15*$B16</f>
        <v>340</v>
      </c>
      <c r="M16" s="19">
        <f t="shared" si="7"/>
        <v>1445</v>
      </c>
      <c r="N16" s="20">
        <f t="shared" si="8"/>
        <v>867</v>
      </c>
      <c r="O16" s="24">
        <f>O15*$B16</f>
        <v>340</v>
      </c>
      <c r="P16" s="19">
        <f t="shared" si="9"/>
        <v>578</v>
      </c>
      <c r="Q16" s="23">
        <f t="shared" si="10"/>
        <v>1734</v>
      </c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15" t="s">
        <v>36</v>
      </c>
      <c r="B17" s="16">
        <v>1.0</v>
      </c>
      <c r="C17" s="17">
        <f>C15*1.5</f>
        <v>300</v>
      </c>
      <c r="D17" s="19">
        <f t="shared" si="2"/>
        <v>600</v>
      </c>
      <c r="E17" s="20">
        <f t="shared" si="3"/>
        <v>600</v>
      </c>
      <c r="F17" s="17">
        <f>F15*1.5</f>
        <v>300</v>
      </c>
      <c r="G17" s="19">
        <f t="shared" si="4"/>
        <v>750</v>
      </c>
      <c r="H17" s="20">
        <f t="shared" si="5"/>
        <v>450</v>
      </c>
      <c r="I17" s="17">
        <f>I15*1.5</f>
        <v>300</v>
      </c>
      <c r="J17" s="19">
        <f t="shared" si="6"/>
        <v>300</v>
      </c>
      <c r="K17" s="20">
        <f t="shared" si="1"/>
        <v>900</v>
      </c>
      <c r="L17" s="17">
        <f>L15*1.5</f>
        <v>300</v>
      </c>
      <c r="M17" s="19">
        <f t="shared" si="7"/>
        <v>750</v>
      </c>
      <c r="N17" s="20">
        <f t="shared" si="8"/>
        <v>450</v>
      </c>
      <c r="O17" s="17">
        <f>O15*1.5</f>
        <v>300</v>
      </c>
      <c r="P17" s="19">
        <f t="shared" si="9"/>
        <v>300</v>
      </c>
      <c r="Q17" s="23">
        <f t="shared" si="10"/>
        <v>900</v>
      </c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15" t="s">
        <v>37</v>
      </c>
      <c r="B18" s="16">
        <v>1.8</v>
      </c>
      <c r="C18" s="24">
        <f>C17*$B18</f>
        <v>540</v>
      </c>
      <c r="D18" s="19">
        <f t="shared" si="2"/>
        <v>1944</v>
      </c>
      <c r="E18" s="20">
        <f t="shared" si="3"/>
        <v>1944</v>
      </c>
      <c r="F18" s="24">
        <f>F17*$B18</f>
        <v>540</v>
      </c>
      <c r="G18" s="19">
        <f t="shared" si="4"/>
        <v>2430</v>
      </c>
      <c r="H18" s="20">
        <f t="shared" si="5"/>
        <v>1458</v>
      </c>
      <c r="I18" s="24">
        <f>I17*$B18</f>
        <v>540</v>
      </c>
      <c r="J18" s="19">
        <f t="shared" si="6"/>
        <v>972</v>
      </c>
      <c r="K18" s="20">
        <f t="shared" si="1"/>
        <v>2916</v>
      </c>
      <c r="L18" s="24">
        <f>L17*$B18</f>
        <v>540</v>
      </c>
      <c r="M18" s="19">
        <f t="shared" si="7"/>
        <v>2430</v>
      </c>
      <c r="N18" s="20">
        <f t="shared" si="8"/>
        <v>1458</v>
      </c>
      <c r="O18" s="24">
        <f>O17*$B18</f>
        <v>540</v>
      </c>
      <c r="P18" s="19">
        <f t="shared" si="9"/>
        <v>972</v>
      </c>
      <c r="Q18" s="23">
        <f t="shared" si="10"/>
        <v>2916</v>
      </c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15" t="s">
        <v>38</v>
      </c>
      <c r="B19" s="16">
        <v>1.0</v>
      </c>
      <c r="C19" s="17">
        <f>C17*4/3</f>
        <v>400</v>
      </c>
      <c r="D19" s="19">
        <f t="shared" si="2"/>
        <v>800</v>
      </c>
      <c r="E19" s="20">
        <f t="shared" si="3"/>
        <v>800</v>
      </c>
      <c r="F19" s="17">
        <f>F17*4/3</f>
        <v>400</v>
      </c>
      <c r="G19" s="19">
        <f t="shared" si="4"/>
        <v>1000</v>
      </c>
      <c r="H19" s="20">
        <f t="shared" si="5"/>
        <v>600</v>
      </c>
      <c r="I19" s="17">
        <f>I17*4/3</f>
        <v>400</v>
      </c>
      <c r="J19" s="19">
        <f t="shared" si="6"/>
        <v>400</v>
      </c>
      <c r="K19" s="20">
        <f t="shared" si="1"/>
        <v>1200</v>
      </c>
      <c r="L19" s="17">
        <f>L17*4/3</f>
        <v>400</v>
      </c>
      <c r="M19" s="19">
        <f t="shared" si="7"/>
        <v>1000</v>
      </c>
      <c r="N19" s="20">
        <f t="shared" si="8"/>
        <v>600</v>
      </c>
      <c r="O19" s="17">
        <f>O17*4/3</f>
        <v>400</v>
      </c>
      <c r="P19" s="19">
        <f t="shared" si="9"/>
        <v>400</v>
      </c>
      <c r="Q19" s="23">
        <f t="shared" si="10"/>
        <v>1200</v>
      </c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15" t="s">
        <v>39</v>
      </c>
      <c r="B20" s="16">
        <v>1.9</v>
      </c>
      <c r="C20" s="24">
        <f>C19*$B20</f>
        <v>760</v>
      </c>
      <c r="D20" s="19">
        <f t="shared" si="2"/>
        <v>2888</v>
      </c>
      <c r="E20" s="20">
        <f t="shared" si="3"/>
        <v>2888</v>
      </c>
      <c r="F20" s="24">
        <f>F19*$B20</f>
        <v>760</v>
      </c>
      <c r="G20" s="19">
        <f t="shared" si="4"/>
        <v>3610</v>
      </c>
      <c r="H20" s="20">
        <f t="shared" si="5"/>
        <v>2166</v>
      </c>
      <c r="I20" s="24">
        <f>I19*$B20</f>
        <v>760</v>
      </c>
      <c r="J20" s="19">
        <f t="shared" si="6"/>
        <v>1444</v>
      </c>
      <c r="K20" s="20">
        <f t="shared" si="1"/>
        <v>4332</v>
      </c>
      <c r="L20" s="24">
        <f>L19*$B20</f>
        <v>760</v>
      </c>
      <c r="M20" s="19">
        <f t="shared" si="7"/>
        <v>3610</v>
      </c>
      <c r="N20" s="20">
        <f t="shared" si="8"/>
        <v>2166</v>
      </c>
      <c r="O20" s="24">
        <f>O19*$B20</f>
        <v>760</v>
      </c>
      <c r="P20" s="19">
        <f t="shared" si="9"/>
        <v>1444</v>
      </c>
      <c r="Q20" s="23">
        <f t="shared" si="10"/>
        <v>4332</v>
      </c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15" t="s">
        <v>40</v>
      </c>
      <c r="B21" s="16">
        <v>1.0</v>
      </c>
      <c r="C21" s="17">
        <f>C19*5/4</f>
        <v>500</v>
      </c>
      <c r="D21" s="19">
        <f t="shared" si="2"/>
        <v>1000</v>
      </c>
      <c r="E21" s="20">
        <f t="shared" si="3"/>
        <v>1000</v>
      </c>
      <c r="F21" s="17">
        <f>F19*5/4</f>
        <v>500</v>
      </c>
      <c r="G21" s="19">
        <f t="shared" si="4"/>
        <v>1250</v>
      </c>
      <c r="H21" s="20">
        <f t="shared" si="5"/>
        <v>750</v>
      </c>
      <c r="I21" s="17">
        <f>I19*5/4</f>
        <v>500</v>
      </c>
      <c r="J21" s="19">
        <f t="shared" si="6"/>
        <v>500</v>
      </c>
      <c r="K21" s="20">
        <f t="shared" si="1"/>
        <v>1500</v>
      </c>
      <c r="L21" s="17">
        <f>L19*5/4</f>
        <v>500</v>
      </c>
      <c r="M21" s="19">
        <f t="shared" si="7"/>
        <v>1250</v>
      </c>
      <c r="N21" s="20">
        <f t="shared" si="8"/>
        <v>750</v>
      </c>
      <c r="O21" s="17">
        <f>O19*5/4</f>
        <v>500</v>
      </c>
      <c r="P21" s="19">
        <f t="shared" si="9"/>
        <v>500</v>
      </c>
      <c r="Q21" s="23">
        <f t="shared" si="10"/>
        <v>1500</v>
      </c>
      <c r="R21" s="7"/>
      <c r="S21" s="7"/>
      <c r="T21" s="7"/>
      <c r="U21" s="7"/>
      <c r="V21" s="7"/>
      <c r="W21" s="7"/>
      <c r="X21" s="7"/>
      <c r="Y21" s="7"/>
      <c r="Z21" s="7"/>
    </row>
    <row r="22" ht="20.25" customHeight="1">
      <c r="A22" s="25" t="s">
        <v>41</v>
      </c>
      <c r="B22" s="26">
        <v>2.0</v>
      </c>
      <c r="C22" s="27">
        <f>C21*$B22</f>
        <v>1000</v>
      </c>
      <c r="D22" s="28">
        <f t="shared" si="2"/>
        <v>4000</v>
      </c>
      <c r="E22" s="29">
        <f t="shared" si="3"/>
        <v>4000</v>
      </c>
      <c r="F22" s="27">
        <f>F21*$B22</f>
        <v>1000</v>
      </c>
      <c r="G22" s="28">
        <f t="shared" si="4"/>
        <v>5000</v>
      </c>
      <c r="H22" s="29">
        <f t="shared" si="5"/>
        <v>3000</v>
      </c>
      <c r="I22" s="27">
        <f>I21*$B22</f>
        <v>1000</v>
      </c>
      <c r="J22" s="28">
        <f t="shared" si="6"/>
        <v>2000</v>
      </c>
      <c r="K22" s="29">
        <f t="shared" si="1"/>
        <v>6000</v>
      </c>
      <c r="L22" s="27">
        <f>L21*$B22</f>
        <v>1000</v>
      </c>
      <c r="M22" s="28">
        <f t="shared" si="7"/>
        <v>5000</v>
      </c>
      <c r="N22" s="29">
        <f t="shared" si="8"/>
        <v>3000</v>
      </c>
      <c r="O22" s="27">
        <f>O21*$B22</f>
        <v>1000</v>
      </c>
      <c r="P22" s="28">
        <f t="shared" si="9"/>
        <v>2000</v>
      </c>
      <c r="Q22" s="30">
        <f t="shared" si="10"/>
        <v>6000</v>
      </c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9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9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9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9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9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9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9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9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9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9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9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9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9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9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9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9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9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9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9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9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9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9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9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9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9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9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9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9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9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9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9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9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9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9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9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9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9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9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9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9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9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9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9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9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9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9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9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9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9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9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9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9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9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9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9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9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9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9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9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9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9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9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9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9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9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9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9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9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9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9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9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9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9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9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9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9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9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9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9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9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9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9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9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9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9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9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9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9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9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9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9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9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9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9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9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9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9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9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9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9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9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9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9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9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9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9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9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9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9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9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9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9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9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9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9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9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9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9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9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9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9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9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9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9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9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9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9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9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9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9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9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9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9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9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9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9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9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9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9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9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9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9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9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9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9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9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9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9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9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9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9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9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9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9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9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9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9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9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9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9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9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9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9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9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9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9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9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9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9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9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9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9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9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9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9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9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9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9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9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9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9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9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9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9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9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9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9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9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9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9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9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9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9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9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9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9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9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9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9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9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9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9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9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9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9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9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9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9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9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9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9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9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9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9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9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9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9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9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9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9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9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9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9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9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9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9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9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9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9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9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9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9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9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9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9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9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9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9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9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9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9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9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9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9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9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9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9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9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9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9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9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9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9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9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9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9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9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9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9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9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9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9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9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9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9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9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9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9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9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9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9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9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9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9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9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9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9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9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9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9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9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9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9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9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9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9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9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9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9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9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9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9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9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9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9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9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9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9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9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9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9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9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9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9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9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9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9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9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9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9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9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9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9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9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9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9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9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9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9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9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9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9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9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9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9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9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9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9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9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9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9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9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9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9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9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9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9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9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9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9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9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9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9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9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9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9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9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9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9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9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9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9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9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9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9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9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9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9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9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9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9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9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9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9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9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9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9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9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9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9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9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9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9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9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9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9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9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9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9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9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9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9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9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9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9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9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9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9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9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9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9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9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9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9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9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9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9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9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9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9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9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9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9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9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9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9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9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9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9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9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9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9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9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9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9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9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9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9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9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9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9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9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9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9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9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9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9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9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9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9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9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9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9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9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9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9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9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9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9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9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9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9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9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9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9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9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9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9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9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9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9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9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9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9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9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9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9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9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9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9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9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9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9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9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9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9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9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9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9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9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9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9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9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9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9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9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9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9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9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9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9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9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9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9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9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9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9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9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9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9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9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9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9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9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9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9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9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9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9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9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9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9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9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9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9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9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9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9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9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9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9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9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9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9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9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9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9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9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9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9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9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9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9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9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9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9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9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9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9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9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9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9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9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9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9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9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9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9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9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9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9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9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9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9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9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9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9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9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9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9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9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9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9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9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9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9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9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9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9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9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9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9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7.0"/>
    <col customWidth="1" min="2" max="2" width="13.29"/>
    <col customWidth="1" min="3" max="3" width="11.43"/>
    <col customWidth="1" min="4" max="4" width="9.29"/>
    <col customWidth="1" min="5" max="5" width="22.71"/>
    <col customWidth="1" min="6" max="6" width="8.43"/>
    <col customWidth="1" min="7" max="7" width="20.57"/>
    <col customWidth="1" min="8" max="8" width="20.14"/>
    <col customWidth="1" min="9" max="9" width="8.86"/>
    <col customWidth="1" min="10" max="10" width="24.86"/>
    <col customWidth="1" min="11" max="11" width="9.0"/>
    <col customWidth="1" min="12" max="12" width="10.71"/>
    <col customWidth="1" min="13" max="13" width="23.0"/>
    <col customWidth="1" min="14" max="14" width="18.71"/>
    <col customWidth="1" min="15" max="15" width="6.71"/>
    <col customWidth="1" min="16" max="16" width="13.57"/>
    <col customWidth="1" min="17" max="17" width="7.86"/>
    <col customWidth="1" min="18" max="26" width="16.29"/>
  </cols>
  <sheetData>
    <row r="1" ht="20.25" customHeight="1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21</v>
      </c>
      <c r="S1" s="7"/>
      <c r="T1" s="7"/>
      <c r="U1" s="7"/>
      <c r="V1" s="7"/>
      <c r="W1" s="7"/>
      <c r="X1" s="7"/>
      <c r="Y1" s="7"/>
      <c r="Z1" s="7"/>
    </row>
    <row r="2" ht="20.25" customHeight="1">
      <c r="A2" s="12" t="s">
        <v>19</v>
      </c>
      <c r="B2" s="12" t="s">
        <v>20</v>
      </c>
      <c r="C2" s="18">
        <v>1.0</v>
      </c>
      <c r="D2" s="18">
        <v>2.0</v>
      </c>
      <c r="E2" s="18">
        <v>2.0</v>
      </c>
      <c r="F2" s="18">
        <v>1.0</v>
      </c>
      <c r="G2" s="18">
        <v>2.5</v>
      </c>
      <c r="H2" s="18">
        <v>1.5</v>
      </c>
      <c r="I2" s="18">
        <v>1.0</v>
      </c>
      <c r="J2" s="18">
        <v>1.0</v>
      </c>
      <c r="K2" s="18">
        <v>3.0</v>
      </c>
      <c r="L2" s="18">
        <v>1.0</v>
      </c>
      <c r="M2" s="18">
        <v>2.5</v>
      </c>
      <c r="N2" s="18">
        <v>1.5</v>
      </c>
      <c r="O2" s="18">
        <v>1.0</v>
      </c>
      <c r="P2" s="18">
        <v>1.0</v>
      </c>
      <c r="Q2" s="18">
        <v>3.0</v>
      </c>
      <c r="R2" s="18"/>
      <c r="S2" s="7"/>
      <c r="T2" s="7"/>
      <c r="U2" s="7"/>
      <c r="V2" s="7"/>
      <c r="W2" s="7"/>
      <c r="X2" s="7"/>
      <c r="Y2" s="7"/>
      <c r="Z2" s="7"/>
    </row>
    <row r="3" ht="19.5" customHeight="1">
      <c r="A3" s="12" t="s">
        <v>22</v>
      </c>
      <c r="B3" s="21">
        <v>1.0</v>
      </c>
      <c r="C3" s="22">
        <v>4.0</v>
      </c>
      <c r="D3" s="18">
        <f>C3*D2*$B3</f>
        <v>8</v>
      </c>
      <c r="E3" s="18">
        <f>C3*E2*$B3</f>
        <v>8</v>
      </c>
      <c r="F3" s="22">
        <v>3.0</v>
      </c>
      <c r="G3" s="18">
        <f>F3*G2*$B3</f>
        <v>7.5</v>
      </c>
      <c r="H3" s="18">
        <f>F3*H2*$B3</f>
        <v>4.5</v>
      </c>
      <c r="I3" s="22">
        <v>4.0</v>
      </c>
      <c r="J3" s="18">
        <f>I3*J2*$B3</f>
        <v>4</v>
      </c>
      <c r="K3" s="18">
        <f t="shared" ref="K3:K22" si="1">I3*K$2*$B3</f>
        <v>12</v>
      </c>
      <c r="L3" s="22">
        <v>2.0</v>
      </c>
      <c r="M3" s="18">
        <f>L3*M2*$B3</f>
        <v>5</v>
      </c>
      <c r="N3" s="18">
        <f>N2*L3*$B3</f>
        <v>3</v>
      </c>
      <c r="O3" s="22">
        <v>3.0</v>
      </c>
      <c r="P3" s="18">
        <f>O3*P2*$B3</f>
        <v>3</v>
      </c>
      <c r="Q3" s="18">
        <f>Q2*O3*$B3</f>
        <v>9</v>
      </c>
      <c r="R3" s="18">
        <f t="shared" ref="R3:R22" si="2">SUM(C3,F3,I3,L3,O3)</f>
        <v>16</v>
      </c>
      <c r="S3" s="7"/>
      <c r="T3" s="7"/>
      <c r="U3" s="7"/>
      <c r="V3" s="7"/>
      <c r="W3" s="7"/>
      <c r="X3" s="7"/>
      <c r="Y3" s="7"/>
      <c r="Z3" s="7"/>
    </row>
    <row r="4" ht="19.5" customHeight="1">
      <c r="A4" s="12" t="s">
        <v>23</v>
      </c>
      <c r="B4" s="21">
        <v>1.1</v>
      </c>
      <c r="C4" s="18">
        <f>C3*$B4</f>
        <v>4.4</v>
      </c>
      <c r="D4" s="18">
        <f t="shared" ref="D4:D22" si="3">C4*D$2*$B4</f>
        <v>9.68</v>
      </c>
      <c r="E4" s="18">
        <f t="shared" ref="E4:E22" si="4">C4*$E$2*$B4</f>
        <v>9.68</v>
      </c>
      <c r="F4" s="18">
        <f>F3*$B4</f>
        <v>3.3</v>
      </c>
      <c r="G4" s="18">
        <f t="shared" ref="G4:G22" si="5">F4*G$2*$B4</f>
        <v>9.075</v>
      </c>
      <c r="H4" s="18">
        <f t="shared" ref="H4:H22" si="6">F4*$H$2*$B4</f>
        <v>5.445</v>
      </c>
      <c r="I4" s="18">
        <f>I3*$B4</f>
        <v>4.4</v>
      </c>
      <c r="J4" s="18">
        <f t="shared" ref="J4:J22" si="7">I4*J$2*$B4</f>
        <v>4.84</v>
      </c>
      <c r="K4" s="18">
        <f t="shared" si="1"/>
        <v>14.52</v>
      </c>
      <c r="L4" s="18">
        <f>L3*$B4</f>
        <v>2.2</v>
      </c>
      <c r="M4" s="18">
        <f t="shared" ref="M4:M22" si="8">L4*M$2*$B4</f>
        <v>6.05</v>
      </c>
      <c r="N4" s="18">
        <f t="shared" ref="N4:N22" si="9">L4*N$2*$B4</f>
        <v>3.63</v>
      </c>
      <c r="O4" s="18">
        <f>O3*$B4</f>
        <v>3.3</v>
      </c>
      <c r="P4" s="18">
        <f t="shared" ref="P4:P22" si="10">O4*P$2*$B4</f>
        <v>3.63</v>
      </c>
      <c r="Q4" s="18">
        <f t="shared" ref="Q4:Q22" si="11">O4*Q$2*$B4</f>
        <v>10.89</v>
      </c>
      <c r="R4" s="18">
        <f t="shared" si="2"/>
        <v>17.6</v>
      </c>
      <c r="S4" s="7"/>
      <c r="T4" s="7"/>
      <c r="U4" s="7"/>
      <c r="V4" s="7"/>
      <c r="W4" s="7"/>
      <c r="X4" s="7"/>
      <c r="Y4" s="7"/>
      <c r="Z4" s="7"/>
    </row>
    <row r="5" ht="19.5" customHeight="1">
      <c r="A5" s="12" t="s">
        <v>24</v>
      </c>
      <c r="B5" s="21">
        <v>1.0</v>
      </c>
      <c r="C5" s="22">
        <f>C3*4</f>
        <v>16</v>
      </c>
      <c r="D5" s="18">
        <f t="shared" si="3"/>
        <v>32</v>
      </c>
      <c r="E5" s="18">
        <f t="shared" si="4"/>
        <v>32</v>
      </c>
      <c r="F5" s="22">
        <f>F3*4</f>
        <v>12</v>
      </c>
      <c r="G5" s="18">
        <f t="shared" si="5"/>
        <v>30</v>
      </c>
      <c r="H5" s="18">
        <f t="shared" si="6"/>
        <v>18</v>
      </c>
      <c r="I5" s="22">
        <f>I3*4</f>
        <v>16</v>
      </c>
      <c r="J5" s="18">
        <f t="shared" si="7"/>
        <v>16</v>
      </c>
      <c r="K5" s="18">
        <f t="shared" si="1"/>
        <v>48</v>
      </c>
      <c r="L5" s="22">
        <f>L3*4</f>
        <v>8</v>
      </c>
      <c r="M5" s="18">
        <f t="shared" si="8"/>
        <v>20</v>
      </c>
      <c r="N5" s="18">
        <f t="shared" si="9"/>
        <v>12</v>
      </c>
      <c r="O5" s="22">
        <f>O3*4</f>
        <v>12</v>
      </c>
      <c r="P5" s="18">
        <f t="shared" si="10"/>
        <v>12</v>
      </c>
      <c r="Q5" s="18">
        <f t="shared" si="11"/>
        <v>36</v>
      </c>
      <c r="R5" s="18">
        <f t="shared" si="2"/>
        <v>64</v>
      </c>
      <c r="S5" s="7"/>
      <c r="T5" s="7"/>
      <c r="U5" s="7"/>
      <c r="V5" s="7"/>
      <c r="W5" s="7"/>
      <c r="X5" s="7"/>
      <c r="Y5" s="7"/>
      <c r="Z5" s="7"/>
    </row>
    <row r="6" ht="19.5" customHeight="1">
      <c r="A6" s="12" t="s">
        <v>25</v>
      </c>
      <c r="B6" s="21">
        <v>1.2</v>
      </c>
      <c r="C6" s="18">
        <f>C5*$B6</f>
        <v>19.2</v>
      </c>
      <c r="D6" s="18">
        <f t="shared" si="3"/>
        <v>46.08</v>
      </c>
      <c r="E6" s="18">
        <f t="shared" si="4"/>
        <v>46.08</v>
      </c>
      <c r="F6" s="18">
        <f>F5*$B6</f>
        <v>14.4</v>
      </c>
      <c r="G6" s="18">
        <f t="shared" si="5"/>
        <v>43.2</v>
      </c>
      <c r="H6" s="18">
        <f t="shared" si="6"/>
        <v>25.92</v>
      </c>
      <c r="I6" s="18">
        <f>I5*$B6</f>
        <v>19.2</v>
      </c>
      <c r="J6" s="18">
        <f t="shared" si="7"/>
        <v>23.04</v>
      </c>
      <c r="K6" s="18">
        <f t="shared" si="1"/>
        <v>69.12</v>
      </c>
      <c r="L6" s="18">
        <f>L5*$B6</f>
        <v>9.6</v>
      </c>
      <c r="M6" s="18">
        <f t="shared" si="8"/>
        <v>28.8</v>
      </c>
      <c r="N6" s="18">
        <f t="shared" si="9"/>
        <v>17.28</v>
      </c>
      <c r="O6" s="18">
        <f>O5*$B6</f>
        <v>14.4</v>
      </c>
      <c r="P6" s="18">
        <f t="shared" si="10"/>
        <v>17.28</v>
      </c>
      <c r="Q6" s="18">
        <f t="shared" si="11"/>
        <v>51.84</v>
      </c>
      <c r="R6" s="18">
        <f t="shared" si="2"/>
        <v>76.8</v>
      </c>
      <c r="S6" s="7"/>
      <c r="T6" s="7"/>
      <c r="U6" s="7"/>
      <c r="V6" s="7"/>
      <c r="W6" s="7"/>
      <c r="X6" s="7"/>
      <c r="Y6" s="7"/>
      <c r="Z6" s="7"/>
    </row>
    <row r="7" ht="19.5" customHeight="1">
      <c r="A7" s="12" t="s">
        <v>26</v>
      </c>
      <c r="B7" s="21">
        <v>1.0</v>
      </c>
      <c r="C7" s="22">
        <f>C5*1.5</f>
        <v>24</v>
      </c>
      <c r="D7" s="18">
        <f t="shared" si="3"/>
        <v>48</v>
      </c>
      <c r="E7" s="18">
        <f t="shared" si="4"/>
        <v>48</v>
      </c>
      <c r="F7" s="22">
        <f>F5*1.5</f>
        <v>18</v>
      </c>
      <c r="G7" s="18">
        <f t="shared" si="5"/>
        <v>45</v>
      </c>
      <c r="H7" s="18">
        <f t="shared" si="6"/>
        <v>27</v>
      </c>
      <c r="I7" s="22">
        <f>I5*1.5</f>
        <v>24</v>
      </c>
      <c r="J7" s="18">
        <f t="shared" si="7"/>
        <v>24</v>
      </c>
      <c r="K7" s="18">
        <f t="shared" si="1"/>
        <v>72</v>
      </c>
      <c r="L7" s="22">
        <f>L5*1.5</f>
        <v>12</v>
      </c>
      <c r="M7" s="18">
        <f t="shared" si="8"/>
        <v>30</v>
      </c>
      <c r="N7" s="18">
        <f t="shared" si="9"/>
        <v>18</v>
      </c>
      <c r="O7" s="22">
        <f>O5*1.5</f>
        <v>18</v>
      </c>
      <c r="P7" s="18">
        <f t="shared" si="10"/>
        <v>18</v>
      </c>
      <c r="Q7" s="18">
        <f t="shared" si="11"/>
        <v>54</v>
      </c>
      <c r="R7" s="18">
        <f t="shared" si="2"/>
        <v>96</v>
      </c>
      <c r="S7" s="7"/>
      <c r="T7" s="7"/>
      <c r="U7" s="7"/>
      <c r="V7" s="7"/>
      <c r="W7" s="7"/>
      <c r="X7" s="7"/>
      <c r="Y7" s="7"/>
      <c r="Z7" s="7"/>
    </row>
    <row r="8" ht="19.5" customHeight="1">
      <c r="A8" s="12" t="s">
        <v>27</v>
      </c>
      <c r="B8" s="21">
        <v>1.3</v>
      </c>
      <c r="C8" s="18">
        <f>C7*$B8</f>
        <v>31.2</v>
      </c>
      <c r="D8" s="18">
        <f t="shared" si="3"/>
        <v>81.12</v>
      </c>
      <c r="E8" s="18">
        <f t="shared" si="4"/>
        <v>81.12</v>
      </c>
      <c r="F8" s="18">
        <f>F7*$B8</f>
        <v>23.4</v>
      </c>
      <c r="G8" s="18">
        <f t="shared" si="5"/>
        <v>76.05</v>
      </c>
      <c r="H8" s="18">
        <f t="shared" si="6"/>
        <v>45.63</v>
      </c>
      <c r="I8" s="18">
        <f>I7*$B8</f>
        <v>31.2</v>
      </c>
      <c r="J8" s="18">
        <f t="shared" si="7"/>
        <v>40.56</v>
      </c>
      <c r="K8" s="18">
        <f t="shared" si="1"/>
        <v>121.68</v>
      </c>
      <c r="L8" s="18">
        <f>L7*$B8</f>
        <v>15.6</v>
      </c>
      <c r="M8" s="18">
        <f t="shared" si="8"/>
        <v>50.7</v>
      </c>
      <c r="N8" s="18">
        <f t="shared" si="9"/>
        <v>30.42</v>
      </c>
      <c r="O8" s="18">
        <f>O7*$B8</f>
        <v>23.4</v>
      </c>
      <c r="P8" s="18">
        <f t="shared" si="10"/>
        <v>30.42</v>
      </c>
      <c r="Q8" s="18">
        <f t="shared" si="11"/>
        <v>91.26</v>
      </c>
      <c r="R8" s="18">
        <f t="shared" si="2"/>
        <v>124.8</v>
      </c>
      <c r="S8" s="7"/>
      <c r="T8" s="7"/>
      <c r="U8" s="7"/>
      <c r="V8" s="7"/>
      <c r="W8" s="7"/>
      <c r="X8" s="7"/>
      <c r="Y8" s="7"/>
      <c r="Z8" s="7"/>
    </row>
    <row r="9" ht="19.5" customHeight="1">
      <c r="A9" s="12" t="s">
        <v>28</v>
      </c>
      <c r="B9" s="21">
        <v>1.0</v>
      </c>
      <c r="C9" s="22">
        <f>C7*5/3</f>
        <v>40</v>
      </c>
      <c r="D9" s="18">
        <f t="shared" si="3"/>
        <v>80</v>
      </c>
      <c r="E9" s="18">
        <f t="shared" si="4"/>
        <v>80</v>
      </c>
      <c r="F9" s="22">
        <f>F7*5/3</f>
        <v>30</v>
      </c>
      <c r="G9" s="18">
        <f t="shared" si="5"/>
        <v>75</v>
      </c>
      <c r="H9" s="18">
        <f t="shared" si="6"/>
        <v>45</v>
      </c>
      <c r="I9" s="22">
        <f>I7*5/3</f>
        <v>40</v>
      </c>
      <c r="J9" s="18">
        <f t="shared" si="7"/>
        <v>40</v>
      </c>
      <c r="K9" s="18">
        <f t="shared" si="1"/>
        <v>120</v>
      </c>
      <c r="L9" s="22">
        <f>L7*5/3</f>
        <v>20</v>
      </c>
      <c r="M9" s="18">
        <f t="shared" si="8"/>
        <v>50</v>
      </c>
      <c r="N9" s="18">
        <f t="shared" si="9"/>
        <v>30</v>
      </c>
      <c r="O9" s="22">
        <f>O7*5/3</f>
        <v>30</v>
      </c>
      <c r="P9" s="18">
        <f t="shared" si="10"/>
        <v>30</v>
      </c>
      <c r="Q9" s="18">
        <f t="shared" si="11"/>
        <v>90</v>
      </c>
      <c r="R9" s="18">
        <f t="shared" si="2"/>
        <v>160</v>
      </c>
      <c r="S9" s="7"/>
      <c r="T9" s="7"/>
      <c r="U9" s="7"/>
      <c r="V9" s="7"/>
      <c r="W9" s="7"/>
      <c r="X9" s="7"/>
      <c r="Y9" s="7"/>
      <c r="Z9" s="7"/>
    </row>
    <row r="10" ht="19.5" customHeight="1">
      <c r="A10" s="12" t="s">
        <v>29</v>
      </c>
      <c r="B10" s="21">
        <v>1.4</v>
      </c>
      <c r="C10" s="18">
        <f>C9*$B10</f>
        <v>56</v>
      </c>
      <c r="D10" s="18">
        <f t="shared" si="3"/>
        <v>156.8</v>
      </c>
      <c r="E10" s="18">
        <f t="shared" si="4"/>
        <v>156.8</v>
      </c>
      <c r="F10" s="18">
        <f>F9*$B10</f>
        <v>42</v>
      </c>
      <c r="G10" s="18">
        <f t="shared" si="5"/>
        <v>147</v>
      </c>
      <c r="H10" s="18">
        <f t="shared" si="6"/>
        <v>88.2</v>
      </c>
      <c r="I10" s="18">
        <f>I9*$B10</f>
        <v>56</v>
      </c>
      <c r="J10" s="18">
        <f t="shared" si="7"/>
        <v>78.4</v>
      </c>
      <c r="K10" s="18">
        <f t="shared" si="1"/>
        <v>235.2</v>
      </c>
      <c r="L10" s="18">
        <f>L9*$B10</f>
        <v>28</v>
      </c>
      <c r="M10" s="18">
        <f t="shared" si="8"/>
        <v>98</v>
      </c>
      <c r="N10" s="18">
        <f t="shared" si="9"/>
        <v>58.8</v>
      </c>
      <c r="O10" s="18">
        <f>O9*$B10</f>
        <v>42</v>
      </c>
      <c r="P10" s="18">
        <f t="shared" si="10"/>
        <v>58.8</v>
      </c>
      <c r="Q10" s="18">
        <f t="shared" si="11"/>
        <v>176.4</v>
      </c>
      <c r="R10" s="18">
        <f t="shared" si="2"/>
        <v>224</v>
      </c>
      <c r="S10" s="7"/>
      <c r="T10" s="7"/>
      <c r="U10" s="7"/>
      <c r="V10" s="7"/>
      <c r="W10" s="7"/>
      <c r="X10" s="7"/>
      <c r="Y10" s="7"/>
      <c r="Z10" s="7"/>
    </row>
    <row r="11" ht="19.5" customHeight="1">
      <c r="A11" s="12" t="s">
        <v>30</v>
      </c>
      <c r="B11" s="21">
        <v>1.0</v>
      </c>
      <c r="C11" s="22">
        <f>C9*2</f>
        <v>80</v>
      </c>
      <c r="D11" s="18">
        <f t="shared" si="3"/>
        <v>160</v>
      </c>
      <c r="E11" s="18">
        <f t="shared" si="4"/>
        <v>160</v>
      </c>
      <c r="F11" s="22">
        <f>F9*2</f>
        <v>60</v>
      </c>
      <c r="G11" s="18">
        <f t="shared" si="5"/>
        <v>150</v>
      </c>
      <c r="H11" s="18">
        <f t="shared" si="6"/>
        <v>90</v>
      </c>
      <c r="I11" s="22">
        <f>I9*2</f>
        <v>80</v>
      </c>
      <c r="J11" s="18">
        <f t="shared" si="7"/>
        <v>80</v>
      </c>
      <c r="K11" s="18">
        <f t="shared" si="1"/>
        <v>240</v>
      </c>
      <c r="L11" s="22">
        <f>L9*2</f>
        <v>40</v>
      </c>
      <c r="M11" s="18">
        <f t="shared" si="8"/>
        <v>100</v>
      </c>
      <c r="N11" s="18">
        <f t="shared" si="9"/>
        <v>60</v>
      </c>
      <c r="O11" s="22">
        <f>O9*2</f>
        <v>60</v>
      </c>
      <c r="P11" s="18">
        <f t="shared" si="10"/>
        <v>60</v>
      </c>
      <c r="Q11" s="18">
        <f t="shared" si="11"/>
        <v>180</v>
      </c>
      <c r="R11" s="18">
        <f t="shared" si="2"/>
        <v>320</v>
      </c>
      <c r="S11" s="7"/>
      <c r="T11" s="7"/>
      <c r="U11" s="7"/>
      <c r="V11" s="7"/>
      <c r="W11" s="7"/>
      <c r="X11" s="7"/>
      <c r="Y11" s="7"/>
      <c r="Z11" s="7"/>
    </row>
    <row r="12" ht="19.5" customHeight="1">
      <c r="A12" s="12" t="s">
        <v>31</v>
      </c>
      <c r="B12" s="21">
        <v>1.5</v>
      </c>
      <c r="C12" s="18">
        <f>C11*$B12</f>
        <v>120</v>
      </c>
      <c r="D12" s="18">
        <f t="shared" si="3"/>
        <v>360</v>
      </c>
      <c r="E12" s="18">
        <f t="shared" si="4"/>
        <v>360</v>
      </c>
      <c r="F12" s="18">
        <f>F11*$B12</f>
        <v>90</v>
      </c>
      <c r="G12" s="18">
        <f t="shared" si="5"/>
        <v>337.5</v>
      </c>
      <c r="H12" s="18">
        <f t="shared" si="6"/>
        <v>202.5</v>
      </c>
      <c r="I12" s="18">
        <f>I11*$B12</f>
        <v>120</v>
      </c>
      <c r="J12" s="18">
        <f t="shared" si="7"/>
        <v>180</v>
      </c>
      <c r="K12" s="18">
        <f t="shared" si="1"/>
        <v>540</v>
      </c>
      <c r="L12" s="18">
        <f>L11*$B12</f>
        <v>60</v>
      </c>
      <c r="M12" s="18">
        <f t="shared" si="8"/>
        <v>225</v>
      </c>
      <c r="N12" s="18">
        <f t="shared" si="9"/>
        <v>135</v>
      </c>
      <c r="O12" s="18">
        <f>O11*$B12</f>
        <v>90</v>
      </c>
      <c r="P12" s="18">
        <f t="shared" si="10"/>
        <v>135</v>
      </c>
      <c r="Q12" s="18">
        <f t="shared" si="11"/>
        <v>405</v>
      </c>
      <c r="R12" s="18">
        <f t="shared" si="2"/>
        <v>480</v>
      </c>
      <c r="S12" s="7"/>
      <c r="T12" s="7"/>
      <c r="U12" s="7"/>
      <c r="V12" s="7"/>
      <c r="W12" s="7"/>
      <c r="X12" s="7"/>
      <c r="Y12" s="7"/>
      <c r="Z12" s="7"/>
    </row>
    <row r="13" ht="19.5" customHeight="1">
      <c r="A13" s="12" t="s">
        <v>32</v>
      </c>
      <c r="B13" s="21">
        <v>1.0</v>
      </c>
      <c r="C13" s="22">
        <f>C11*1.5</f>
        <v>120</v>
      </c>
      <c r="D13" s="18">
        <f t="shared" si="3"/>
        <v>240</v>
      </c>
      <c r="E13" s="18">
        <f t="shared" si="4"/>
        <v>240</v>
      </c>
      <c r="F13" s="22">
        <f>F11*1.5</f>
        <v>90</v>
      </c>
      <c r="G13" s="18">
        <f t="shared" si="5"/>
        <v>225</v>
      </c>
      <c r="H13" s="18">
        <f t="shared" si="6"/>
        <v>135</v>
      </c>
      <c r="I13" s="22">
        <f>I11*1.5</f>
        <v>120</v>
      </c>
      <c r="J13" s="18">
        <f t="shared" si="7"/>
        <v>120</v>
      </c>
      <c r="K13" s="18">
        <f t="shared" si="1"/>
        <v>360</v>
      </c>
      <c r="L13" s="22">
        <f>L11*1.5</f>
        <v>60</v>
      </c>
      <c r="M13" s="18">
        <f t="shared" si="8"/>
        <v>150</v>
      </c>
      <c r="N13" s="18">
        <f t="shared" si="9"/>
        <v>90</v>
      </c>
      <c r="O13" s="22">
        <f>O11*1.5</f>
        <v>90</v>
      </c>
      <c r="P13" s="18">
        <f t="shared" si="10"/>
        <v>90</v>
      </c>
      <c r="Q13" s="18">
        <f t="shared" si="11"/>
        <v>270</v>
      </c>
      <c r="R13" s="18">
        <f t="shared" si="2"/>
        <v>480</v>
      </c>
      <c r="S13" s="7"/>
      <c r="T13" s="7"/>
      <c r="U13" s="7"/>
      <c r="V13" s="7"/>
      <c r="W13" s="7"/>
      <c r="X13" s="7"/>
      <c r="Y13" s="7"/>
      <c r="Z13" s="7"/>
    </row>
    <row r="14" ht="19.5" customHeight="1">
      <c r="A14" s="12" t="s">
        <v>33</v>
      </c>
      <c r="B14" s="21">
        <v>1.6</v>
      </c>
      <c r="C14" s="18">
        <f>C13*$B14</f>
        <v>192</v>
      </c>
      <c r="D14" s="18">
        <f t="shared" si="3"/>
        <v>614.4</v>
      </c>
      <c r="E14" s="18">
        <f t="shared" si="4"/>
        <v>614.4</v>
      </c>
      <c r="F14" s="18">
        <f>F13*$B14</f>
        <v>144</v>
      </c>
      <c r="G14" s="18">
        <f t="shared" si="5"/>
        <v>576</v>
      </c>
      <c r="H14" s="18">
        <f t="shared" si="6"/>
        <v>345.6</v>
      </c>
      <c r="I14" s="18">
        <f>I13*$B14</f>
        <v>192</v>
      </c>
      <c r="J14" s="18">
        <f t="shared" si="7"/>
        <v>307.2</v>
      </c>
      <c r="K14" s="18">
        <f t="shared" si="1"/>
        <v>921.6</v>
      </c>
      <c r="L14" s="18">
        <f>L13*$B14</f>
        <v>96</v>
      </c>
      <c r="M14" s="18">
        <f t="shared" si="8"/>
        <v>384</v>
      </c>
      <c r="N14" s="18">
        <f t="shared" si="9"/>
        <v>230.4</v>
      </c>
      <c r="O14" s="18">
        <f>O13*$B14</f>
        <v>144</v>
      </c>
      <c r="P14" s="18">
        <f t="shared" si="10"/>
        <v>230.4</v>
      </c>
      <c r="Q14" s="18">
        <f t="shared" si="11"/>
        <v>691.2</v>
      </c>
      <c r="R14" s="18">
        <f t="shared" si="2"/>
        <v>768</v>
      </c>
      <c r="S14" s="7"/>
      <c r="T14" s="7"/>
      <c r="U14" s="7"/>
      <c r="V14" s="7"/>
      <c r="W14" s="7"/>
      <c r="X14" s="7"/>
      <c r="Y14" s="7"/>
      <c r="Z14" s="7"/>
    </row>
    <row r="15" ht="19.5" customHeight="1">
      <c r="A15" s="12" t="s">
        <v>34</v>
      </c>
      <c r="B15" s="21">
        <v>1.0</v>
      </c>
      <c r="C15" s="22">
        <f>C13*4/3</f>
        <v>160</v>
      </c>
      <c r="D15" s="18">
        <f t="shared" si="3"/>
        <v>320</v>
      </c>
      <c r="E15" s="18">
        <f t="shared" si="4"/>
        <v>320</v>
      </c>
      <c r="F15" s="22">
        <f>F13*4/3</f>
        <v>120</v>
      </c>
      <c r="G15" s="18">
        <f t="shared" si="5"/>
        <v>300</v>
      </c>
      <c r="H15" s="18">
        <f t="shared" si="6"/>
        <v>180</v>
      </c>
      <c r="I15" s="22">
        <f>I13*4/3</f>
        <v>160</v>
      </c>
      <c r="J15" s="18">
        <f t="shared" si="7"/>
        <v>160</v>
      </c>
      <c r="K15" s="18">
        <f t="shared" si="1"/>
        <v>480</v>
      </c>
      <c r="L15" s="22">
        <f>L13*4/3</f>
        <v>80</v>
      </c>
      <c r="M15" s="18">
        <f t="shared" si="8"/>
        <v>200</v>
      </c>
      <c r="N15" s="18">
        <f t="shared" si="9"/>
        <v>120</v>
      </c>
      <c r="O15" s="22">
        <f>O13*4/3</f>
        <v>120</v>
      </c>
      <c r="P15" s="18">
        <f t="shared" si="10"/>
        <v>120</v>
      </c>
      <c r="Q15" s="18">
        <f t="shared" si="11"/>
        <v>360</v>
      </c>
      <c r="R15" s="18">
        <f t="shared" si="2"/>
        <v>640</v>
      </c>
      <c r="S15" s="7"/>
      <c r="T15" s="7"/>
      <c r="U15" s="7"/>
      <c r="V15" s="7"/>
      <c r="W15" s="7"/>
      <c r="X15" s="7"/>
      <c r="Y15" s="7"/>
      <c r="Z15" s="7"/>
    </row>
    <row r="16" ht="19.5" customHeight="1">
      <c r="A16" s="12" t="s">
        <v>35</v>
      </c>
      <c r="B16" s="21">
        <v>1.7</v>
      </c>
      <c r="C16" s="18">
        <f>C15*$B16</f>
        <v>272</v>
      </c>
      <c r="D16" s="18">
        <f t="shared" si="3"/>
        <v>924.8</v>
      </c>
      <c r="E16" s="18">
        <f t="shared" si="4"/>
        <v>924.8</v>
      </c>
      <c r="F16" s="18">
        <f>F15*$B16</f>
        <v>204</v>
      </c>
      <c r="G16" s="18">
        <f t="shared" si="5"/>
        <v>867</v>
      </c>
      <c r="H16" s="18">
        <f t="shared" si="6"/>
        <v>520.2</v>
      </c>
      <c r="I16" s="18">
        <f>I15*$B16</f>
        <v>272</v>
      </c>
      <c r="J16" s="18">
        <f t="shared" si="7"/>
        <v>462.4</v>
      </c>
      <c r="K16" s="18">
        <f t="shared" si="1"/>
        <v>1387.2</v>
      </c>
      <c r="L16" s="18">
        <f>L15*$B16</f>
        <v>136</v>
      </c>
      <c r="M16" s="18">
        <f t="shared" si="8"/>
        <v>578</v>
      </c>
      <c r="N16" s="18">
        <f t="shared" si="9"/>
        <v>346.8</v>
      </c>
      <c r="O16" s="18">
        <f>O15*$B16</f>
        <v>204</v>
      </c>
      <c r="P16" s="18">
        <f t="shared" si="10"/>
        <v>346.8</v>
      </c>
      <c r="Q16" s="18">
        <f t="shared" si="11"/>
        <v>1040.4</v>
      </c>
      <c r="R16" s="18">
        <f t="shared" si="2"/>
        <v>1088</v>
      </c>
      <c r="S16" s="7"/>
      <c r="T16" s="7"/>
      <c r="U16" s="7"/>
      <c r="V16" s="7"/>
      <c r="W16" s="7"/>
      <c r="X16" s="7"/>
      <c r="Y16" s="7"/>
      <c r="Z16" s="7"/>
    </row>
    <row r="17" ht="19.5" customHeight="1">
      <c r="A17" s="12" t="s">
        <v>36</v>
      </c>
      <c r="B17" s="21">
        <v>1.0</v>
      </c>
      <c r="C17" s="22">
        <f>C15*1.5</f>
        <v>240</v>
      </c>
      <c r="D17" s="18">
        <f t="shared" si="3"/>
        <v>480</v>
      </c>
      <c r="E17" s="18">
        <f t="shared" si="4"/>
        <v>480</v>
      </c>
      <c r="F17" s="22">
        <f>F15*1.5</f>
        <v>180</v>
      </c>
      <c r="G17" s="18">
        <f t="shared" si="5"/>
        <v>450</v>
      </c>
      <c r="H17" s="18">
        <f t="shared" si="6"/>
        <v>270</v>
      </c>
      <c r="I17" s="22">
        <f>I15*1.5</f>
        <v>240</v>
      </c>
      <c r="J17" s="18">
        <f t="shared" si="7"/>
        <v>240</v>
      </c>
      <c r="K17" s="18">
        <f t="shared" si="1"/>
        <v>720</v>
      </c>
      <c r="L17" s="22">
        <f>L15*1.5</f>
        <v>120</v>
      </c>
      <c r="M17" s="18">
        <f t="shared" si="8"/>
        <v>300</v>
      </c>
      <c r="N17" s="18">
        <f t="shared" si="9"/>
        <v>180</v>
      </c>
      <c r="O17" s="22">
        <f>O15*1.5</f>
        <v>180</v>
      </c>
      <c r="P17" s="18">
        <f t="shared" si="10"/>
        <v>180</v>
      </c>
      <c r="Q17" s="18">
        <f t="shared" si="11"/>
        <v>540</v>
      </c>
      <c r="R17" s="18">
        <f t="shared" si="2"/>
        <v>960</v>
      </c>
      <c r="S17" s="7"/>
      <c r="T17" s="7"/>
      <c r="U17" s="7"/>
      <c r="V17" s="7"/>
      <c r="W17" s="7"/>
      <c r="X17" s="7"/>
      <c r="Y17" s="7"/>
      <c r="Z17" s="7"/>
    </row>
    <row r="18" ht="19.5" customHeight="1">
      <c r="A18" s="12" t="s">
        <v>37</v>
      </c>
      <c r="B18" s="21">
        <v>1.8</v>
      </c>
      <c r="C18" s="18">
        <f>C17*$B18</f>
        <v>432</v>
      </c>
      <c r="D18" s="18">
        <f t="shared" si="3"/>
        <v>1555.2</v>
      </c>
      <c r="E18" s="18">
        <f t="shared" si="4"/>
        <v>1555.2</v>
      </c>
      <c r="F18" s="18">
        <f>F17*$B18</f>
        <v>324</v>
      </c>
      <c r="G18" s="18">
        <f t="shared" si="5"/>
        <v>1458</v>
      </c>
      <c r="H18" s="18">
        <f t="shared" si="6"/>
        <v>874.8</v>
      </c>
      <c r="I18" s="18">
        <f>I17*$B18</f>
        <v>432</v>
      </c>
      <c r="J18" s="18">
        <f t="shared" si="7"/>
        <v>777.6</v>
      </c>
      <c r="K18" s="18">
        <f t="shared" si="1"/>
        <v>2332.8</v>
      </c>
      <c r="L18" s="18">
        <f>L17*$B18</f>
        <v>216</v>
      </c>
      <c r="M18" s="18">
        <f t="shared" si="8"/>
        <v>972</v>
      </c>
      <c r="N18" s="18">
        <f t="shared" si="9"/>
        <v>583.2</v>
      </c>
      <c r="O18" s="18">
        <f>O17*$B18</f>
        <v>324</v>
      </c>
      <c r="P18" s="18">
        <f t="shared" si="10"/>
        <v>583.2</v>
      </c>
      <c r="Q18" s="18">
        <f t="shared" si="11"/>
        <v>1749.6</v>
      </c>
      <c r="R18" s="18">
        <f t="shared" si="2"/>
        <v>1728</v>
      </c>
      <c r="S18" s="7"/>
      <c r="T18" s="7"/>
      <c r="U18" s="7"/>
      <c r="V18" s="7"/>
      <c r="W18" s="7"/>
      <c r="X18" s="7"/>
      <c r="Y18" s="7"/>
      <c r="Z18" s="7"/>
    </row>
    <row r="19" ht="19.5" customHeight="1">
      <c r="A19" s="12" t="s">
        <v>38</v>
      </c>
      <c r="B19" s="21">
        <v>1.0</v>
      </c>
      <c r="C19" s="22">
        <f>C17*4/3</f>
        <v>320</v>
      </c>
      <c r="D19" s="18">
        <f t="shared" si="3"/>
        <v>640</v>
      </c>
      <c r="E19" s="18">
        <f t="shared" si="4"/>
        <v>640</v>
      </c>
      <c r="F19" s="22">
        <f>F17*4/3</f>
        <v>240</v>
      </c>
      <c r="G19" s="18">
        <f t="shared" si="5"/>
        <v>600</v>
      </c>
      <c r="H19" s="18">
        <f t="shared" si="6"/>
        <v>360</v>
      </c>
      <c r="I19" s="22">
        <f>I17*4/3</f>
        <v>320</v>
      </c>
      <c r="J19" s="18">
        <f t="shared" si="7"/>
        <v>320</v>
      </c>
      <c r="K19" s="18">
        <f t="shared" si="1"/>
        <v>960</v>
      </c>
      <c r="L19" s="22">
        <f>L17*4/3</f>
        <v>160</v>
      </c>
      <c r="M19" s="18">
        <f t="shared" si="8"/>
        <v>400</v>
      </c>
      <c r="N19" s="18">
        <f t="shared" si="9"/>
        <v>240</v>
      </c>
      <c r="O19" s="22">
        <f>O17*4/3</f>
        <v>240</v>
      </c>
      <c r="P19" s="18">
        <f t="shared" si="10"/>
        <v>240</v>
      </c>
      <c r="Q19" s="18">
        <f t="shared" si="11"/>
        <v>720</v>
      </c>
      <c r="R19" s="18">
        <f t="shared" si="2"/>
        <v>1280</v>
      </c>
      <c r="S19" s="7"/>
      <c r="T19" s="7"/>
      <c r="U19" s="7"/>
      <c r="V19" s="7"/>
      <c r="W19" s="7"/>
      <c r="X19" s="7"/>
      <c r="Y19" s="7"/>
      <c r="Z19" s="7"/>
    </row>
    <row r="20" ht="19.5" customHeight="1">
      <c r="A20" s="12" t="s">
        <v>39</v>
      </c>
      <c r="B20" s="21">
        <v>1.9</v>
      </c>
      <c r="C20" s="18">
        <f>C19*$B20</f>
        <v>608</v>
      </c>
      <c r="D20" s="18">
        <f t="shared" si="3"/>
        <v>2310.4</v>
      </c>
      <c r="E20" s="18">
        <f t="shared" si="4"/>
        <v>2310.4</v>
      </c>
      <c r="F20" s="18">
        <f>F19*$B20</f>
        <v>456</v>
      </c>
      <c r="G20" s="18">
        <f t="shared" si="5"/>
        <v>2166</v>
      </c>
      <c r="H20" s="18">
        <f t="shared" si="6"/>
        <v>1299.6</v>
      </c>
      <c r="I20" s="18">
        <f>I19*$B20</f>
        <v>608</v>
      </c>
      <c r="J20" s="18">
        <f t="shared" si="7"/>
        <v>1155.2</v>
      </c>
      <c r="K20" s="18">
        <f t="shared" si="1"/>
        <v>3465.6</v>
      </c>
      <c r="L20" s="18">
        <f>L19*$B20</f>
        <v>304</v>
      </c>
      <c r="M20" s="18">
        <f t="shared" si="8"/>
        <v>1444</v>
      </c>
      <c r="N20" s="18">
        <f t="shared" si="9"/>
        <v>866.4</v>
      </c>
      <c r="O20" s="18">
        <f>O19*$B20</f>
        <v>456</v>
      </c>
      <c r="P20" s="18">
        <f t="shared" si="10"/>
        <v>866.4</v>
      </c>
      <c r="Q20" s="18">
        <f t="shared" si="11"/>
        <v>2599.2</v>
      </c>
      <c r="R20" s="18">
        <f t="shared" si="2"/>
        <v>2432</v>
      </c>
      <c r="S20" s="7"/>
      <c r="T20" s="7"/>
      <c r="U20" s="7"/>
      <c r="V20" s="7"/>
      <c r="W20" s="7"/>
      <c r="X20" s="7"/>
      <c r="Y20" s="7"/>
      <c r="Z20" s="7"/>
    </row>
    <row r="21" ht="19.5" customHeight="1">
      <c r="A21" s="12" t="s">
        <v>40</v>
      </c>
      <c r="B21" s="21">
        <v>1.0</v>
      </c>
      <c r="C21" s="22">
        <f>C19*5/4</f>
        <v>400</v>
      </c>
      <c r="D21" s="18">
        <f t="shared" si="3"/>
        <v>800</v>
      </c>
      <c r="E21" s="18">
        <f t="shared" si="4"/>
        <v>800</v>
      </c>
      <c r="F21" s="22">
        <f>F19*5/4</f>
        <v>300</v>
      </c>
      <c r="G21" s="18">
        <f t="shared" si="5"/>
        <v>750</v>
      </c>
      <c r="H21" s="18">
        <f t="shared" si="6"/>
        <v>450</v>
      </c>
      <c r="I21" s="22">
        <f>I19*5/4</f>
        <v>400</v>
      </c>
      <c r="J21" s="18">
        <f t="shared" si="7"/>
        <v>400</v>
      </c>
      <c r="K21" s="18">
        <f t="shared" si="1"/>
        <v>1200</v>
      </c>
      <c r="L21" s="22">
        <f>L19*5/4</f>
        <v>200</v>
      </c>
      <c r="M21" s="18">
        <f t="shared" si="8"/>
        <v>500</v>
      </c>
      <c r="N21" s="18">
        <f t="shared" si="9"/>
        <v>300</v>
      </c>
      <c r="O21" s="22">
        <f>O19*5/4</f>
        <v>300</v>
      </c>
      <c r="P21" s="18">
        <f t="shared" si="10"/>
        <v>300</v>
      </c>
      <c r="Q21" s="18">
        <f t="shared" si="11"/>
        <v>900</v>
      </c>
      <c r="R21" s="18">
        <f t="shared" si="2"/>
        <v>1600</v>
      </c>
      <c r="S21" s="7"/>
      <c r="T21" s="7"/>
      <c r="U21" s="7"/>
      <c r="V21" s="7"/>
      <c r="W21" s="7"/>
      <c r="X21" s="7"/>
      <c r="Y21" s="7"/>
      <c r="Z21" s="7"/>
    </row>
    <row r="22" ht="20.25" customHeight="1">
      <c r="A22" s="12" t="s">
        <v>41</v>
      </c>
      <c r="B22" s="21">
        <v>2.0</v>
      </c>
      <c r="C22" s="18">
        <f>C21*$B22</f>
        <v>800</v>
      </c>
      <c r="D22" s="18">
        <f t="shared" si="3"/>
        <v>3200</v>
      </c>
      <c r="E22" s="18">
        <f t="shared" si="4"/>
        <v>3200</v>
      </c>
      <c r="F22" s="18">
        <f>F21*$B22</f>
        <v>600</v>
      </c>
      <c r="G22" s="18">
        <f t="shared" si="5"/>
        <v>3000</v>
      </c>
      <c r="H22" s="18">
        <f t="shared" si="6"/>
        <v>1800</v>
      </c>
      <c r="I22" s="18">
        <f>I21*$B22</f>
        <v>800</v>
      </c>
      <c r="J22" s="18">
        <f t="shared" si="7"/>
        <v>1600</v>
      </c>
      <c r="K22" s="18">
        <f t="shared" si="1"/>
        <v>4800</v>
      </c>
      <c r="L22" s="18">
        <f>L21*$B22</f>
        <v>400</v>
      </c>
      <c r="M22" s="18">
        <f t="shared" si="8"/>
        <v>2000</v>
      </c>
      <c r="N22" s="18">
        <f t="shared" si="9"/>
        <v>1200</v>
      </c>
      <c r="O22" s="18">
        <f>O21*$B22</f>
        <v>600</v>
      </c>
      <c r="P22" s="18">
        <f t="shared" si="10"/>
        <v>1200</v>
      </c>
      <c r="Q22" s="18">
        <f t="shared" si="11"/>
        <v>3600</v>
      </c>
      <c r="R22" s="18">
        <f t="shared" si="2"/>
        <v>3200</v>
      </c>
      <c r="S22" s="7"/>
      <c r="T22" s="7"/>
      <c r="U22" s="7"/>
      <c r="V22" s="7"/>
      <c r="W22" s="7"/>
      <c r="X22" s="7"/>
      <c r="Y22" s="7"/>
      <c r="Z22" s="7"/>
    </row>
    <row r="23" ht="19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9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9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9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9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9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9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9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9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9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9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9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9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9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9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9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9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9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9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9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9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9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9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9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9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9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9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9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9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9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9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9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9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9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9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9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9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9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9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9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9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9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9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9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9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9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9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9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9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9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9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9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9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9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9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9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9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9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9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9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9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9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9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9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9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9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9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9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9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9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9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9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9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9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9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9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9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9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9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9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9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9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9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9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9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9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9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9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9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9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9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9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9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9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9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9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9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9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9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9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9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9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9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9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9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9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9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9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9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9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9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9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9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9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9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9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9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9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9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9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9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9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9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9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9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9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9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9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9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9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9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9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9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9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9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9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9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9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9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9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9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9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9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9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9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9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9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9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9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9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9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9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9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9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9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9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9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9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9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9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9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9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9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9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9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9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9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9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9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9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9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9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9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9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9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9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9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9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9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9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9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9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9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9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9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9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9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9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9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9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9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9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9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9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9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9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9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9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9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9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9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9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9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9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9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9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9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9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9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9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9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9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9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9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9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9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9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9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9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9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9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9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9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9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9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9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9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9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9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9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9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9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9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9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9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9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9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9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9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9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9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9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9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9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9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9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9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9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9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9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9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9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9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9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9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9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9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9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9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9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9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9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9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9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9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9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9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9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9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9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9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9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9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9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9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9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9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9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9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9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9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9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9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9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9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9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9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9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9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9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9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9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9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9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9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9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9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9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9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9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9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9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9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9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9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9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9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9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9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9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9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9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9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9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9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9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9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9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9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9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9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9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9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9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9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9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9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9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9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9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9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9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9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9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9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9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9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9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9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9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9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9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9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9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9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9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9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9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9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9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9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9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9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9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9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9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9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9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9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9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9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9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9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9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9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9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9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9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9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9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9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9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9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9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9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9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9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9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9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9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9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9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9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9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9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9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9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9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9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9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9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9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9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9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9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9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9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9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9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9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9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9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9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9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9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9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9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9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9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9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9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9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9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9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9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9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9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9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9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9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9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9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9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9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9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9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9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9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9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9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9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9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9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9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9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9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9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9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9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9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9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9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9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9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9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9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9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9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9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9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9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9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9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9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9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9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9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9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9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9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9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9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9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9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9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9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9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9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9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9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9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9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9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9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9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9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9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9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9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9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9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9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9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9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9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9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9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9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9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9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9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9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9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9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9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9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9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9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9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9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9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9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9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9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9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9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9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9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9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9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9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9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9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9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9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9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9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9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9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9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9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9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9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9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9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9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9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9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9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9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9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9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9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9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9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9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9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9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9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9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9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9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9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9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9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9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9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9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9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9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9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9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9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9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9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9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9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9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9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9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9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9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9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.29"/>
    <col customWidth="1" min="3" max="3" width="11.71"/>
    <col customWidth="1" min="4" max="4" width="9.57"/>
    <col customWidth="1" min="5" max="5" width="16.71"/>
    <col customWidth="1" min="6" max="6" width="8.71"/>
    <col customWidth="1" min="7" max="7" width="16.86"/>
    <col customWidth="1" min="8" max="8" width="18.86"/>
    <col customWidth="1" min="9" max="9" width="9.14"/>
    <col customWidth="1" min="10" max="10" width="15.29"/>
    <col customWidth="1" min="11" max="11" width="9.29"/>
    <col customWidth="1" min="12" max="12" width="11.0"/>
    <col customWidth="1" min="13" max="13" width="16.14"/>
    <col customWidth="1" min="14" max="14" width="17.43"/>
    <col customWidth="1" min="15" max="15" width="6.71"/>
    <col customWidth="1" min="16" max="16" width="8.86"/>
    <col customWidth="1" min="17" max="17" width="8.0"/>
    <col customWidth="1" min="18" max="18" width="9.29"/>
    <col customWidth="1" min="19" max="26" width="8.71"/>
  </cols>
  <sheetData>
    <row r="1" ht="12.75" customHeight="1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21</v>
      </c>
      <c r="S1" s="31" t="s">
        <v>42</v>
      </c>
    </row>
    <row r="2" ht="12.75" customHeight="1">
      <c r="A2" s="12" t="s">
        <v>19</v>
      </c>
      <c r="B2" s="12" t="s">
        <v>20</v>
      </c>
      <c r="C2" s="18">
        <v>1.0</v>
      </c>
      <c r="D2" s="18">
        <v>2.0</v>
      </c>
      <c r="E2" s="18">
        <v>2.0</v>
      </c>
      <c r="F2" s="18">
        <v>1.0</v>
      </c>
      <c r="G2" s="18">
        <v>2.5</v>
      </c>
      <c r="H2" s="18">
        <v>1.5</v>
      </c>
      <c r="I2" s="18">
        <v>1.0</v>
      </c>
      <c r="J2" s="18">
        <v>1.0</v>
      </c>
      <c r="K2" s="18">
        <v>3.0</v>
      </c>
      <c r="L2" s="18">
        <v>1.0</v>
      </c>
      <c r="M2" s="18">
        <v>2.5</v>
      </c>
      <c r="N2" s="18">
        <v>1.5</v>
      </c>
      <c r="O2" s="18">
        <v>1.0</v>
      </c>
      <c r="P2" s="18">
        <v>1.0</v>
      </c>
      <c r="Q2" s="18">
        <v>3.0</v>
      </c>
      <c r="R2" s="18"/>
    </row>
    <row r="3" ht="12.75" customHeight="1">
      <c r="A3" s="12" t="s">
        <v>22</v>
      </c>
      <c r="B3" s="21">
        <v>1.0</v>
      </c>
      <c r="C3" s="22">
        <v>5.0</v>
      </c>
      <c r="D3" s="18">
        <f>C3*D2*$B3</f>
        <v>10</v>
      </c>
      <c r="E3" s="18">
        <f>C3*E2*$B3</f>
        <v>10</v>
      </c>
      <c r="F3" s="22">
        <v>3.0</v>
      </c>
      <c r="G3" s="18">
        <f>F3*G2*$B3</f>
        <v>7.5</v>
      </c>
      <c r="H3" s="18">
        <f>F3*H2*$B3</f>
        <v>4.5</v>
      </c>
      <c r="I3" s="22">
        <v>4.0</v>
      </c>
      <c r="J3" s="18">
        <f>I3*J2*$B3</f>
        <v>4</v>
      </c>
      <c r="K3" s="18">
        <f t="shared" ref="K3:K22" si="1">I3*K$2*$B3</f>
        <v>12</v>
      </c>
      <c r="L3" s="22">
        <v>2.0</v>
      </c>
      <c r="M3" s="18">
        <f>L3*M2*$B3</f>
        <v>5</v>
      </c>
      <c r="N3" s="18">
        <f>N2*L3*$B3</f>
        <v>3</v>
      </c>
      <c r="O3" s="22">
        <v>3.0</v>
      </c>
      <c r="P3" s="18">
        <f>O3*P2*$B3</f>
        <v>3</v>
      </c>
      <c r="Q3" s="18">
        <f>Q2*O3*$B3</f>
        <v>9</v>
      </c>
      <c r="R3" s="18">
        <f t="shared" ref="R3:R22" si="2">SUM(C3,F3,I3,L3,O3)</f>
        <v>17</v>
      </c>
    </row>
    <row r="4" ht="12.75" customHeight="1">
      <c r="A4" s="12" t="s">
        <v>23</v>
      </c>
      <c r="B4" s="21">
        <v>1.1</v>
      </c>
      <c r="C4" s="18">
        <f>C3*$B4</f>
        <v>5.5</v>
      </c>
      <c r="D4" s="18">
        <f t="shared" ref="D4:D22" si="3">C4*D$2*$B4</f>
        <v>12.1</v>
      </c>
      <c r="E4" s="18">
        <f t="shared" ref="E4:E22" si="4">C4*$E$2*$B4</f>
        <v>12.1</v>
      </c>
      <c r="F4" s="18">
        <f>F3*$B4</f>
        <v>3.3</v>
      </c>
      <c r="G4" s="18">
        <f t="shared" ref="G4:G22" si="5">F4*G$2*$B4</f>
        <v>9.075</v>
      </c>
      <c r="H4" s="18">
        <f t="shared" ref="H4:H22" si="6">F4*$H$2*$B4</f>
        <v>5.445</v>
      </c>
      <c r="I4" s="18">
        <f>I3*$B4</f>
        <v>4.4</v>
      </c>
      <c r="J4" s="18">
        <f t="shared" ref="J4:J22" si="7">I4*J$2*$B4</f>
        <v>4.84</v>
      </c>
      <c r="K4" s="18">
        <f t="shared" si="1"/>
        <v>14.52</v>
      </c>
      <c r="L4" s="18">
        <f>L3*$B4</f>
        <v>2.2</v>
      </c>
      <c r="M4" s="18">
        <f t="shared" ref="M4:M22" si="8">L4*M$2*$B4</f>
        <v>6.05</v>
      </c>
      <c r="N4" s="18">
        <f t="shared" ref="N4:N22" si="9">L4*N$2*$B4</f>
        <v>3.63</v>
      </c>
      <c r="O4" s="18">
        <f>O3*$B4</f>
        <v>3.3</v>
      </c>
      <c r="P4" s="18">
        <f t="shared" ref="P4:P22" si="10">O4*P$2*$B4</f>
        <v>3.63</v>
      </c>
      <c r="Q4" s="18">
        <f t="shared" ref="Q4:Q22" si="11">O4*Q$2*$B4</f>
        <v>10.89</v>
      </c>
      <c r="R4" s="18">
        <f t="shared" si="2"/>
        <v>18.7</v>
      </c>
    </row>
    <row r="5" ht="12.75" customHeight="1">
      <c r="A5" s="12" t="s">
        <v>24</v>
      </c>
      <c r="B5" s="21">
        <v>1.0</v>
      </c>
      <c r="C5" s="22">
        <f>C3*4</f>
        <v>20</v>
      </c>
      <c r="D5" s="18">
        <f t="shared" si="3"/>
        <v>40</v>
      </c>
      <c r="E5" s="18">
        <f t="shared" si="4"/>
        <v>40</v>
      </c>
      <c r="F5" s="22">
        <f>F3*4</f>
        <v>12</v>
      </c>
      <c r="G5" s="18">
        <f t="shared" si="5"/>
        <v>30</v>
      </c>
      <c r="H5" s="18">
        <f t="shared" si="6"/>
        <v>18</v>
      </c>
      <c r="I5" s="22">
        <f>I3*4</f>
        <v>16</v>
      </c>
      <c r="J5" s="18">
        <f t="shared" si="7"/>
        <v>16</v>
      </c>
      <c r="K5" s="18">
        <f t="shared" si="1"/>
        <v>48</v>
      </c>
      <c r="L5" s="22">
        <f>L3*4</f>
        <v>8</v>
      </c>
      <c r="M5" s="18">
        <f t="shared" si="8"/>
        <v>20</v>
      </c>
      <c r="N5" s="18">
        <f t="shared" si="9"/>
        <v>12</v>
      </c>
      <c r="O5" s="22">
        <f>O3*4</f>
        <v>12</v>
      </c>
      <c r="P5" s="18">
        <f t="shared" si="10"/>
        <v>12</v>
      </c>
      <c r="Q5" s="18">
        <f t="shared" si="11"/>
        <v>36</v>
      </c>
      <c r="R5" s="18">
        <f t="shared" si="2"/>
        <v>68</v>
      </c>
    </row>
    <row r="6" ht="12.75" customHeight="1">
      <c r="A6" s="12" t="s">
        <v>25</v>
      </c>
      <c r="B6" s="21">
        <v>1.2</v>
      </c>
      <c r="C6" s="18">
        <f>C5*$B6</f>
        <v>24</v>
      </c>
      <c r="D6" s="18">
        <f t="shared" si="3"/>
        <v>57.6</v>
      </c>
      <c r="E6" s="18">
        <f t="shared" si="4"/>
        <v>57.6</v>
      </c>
      <c r="F6" s="18">
        <f>F5*$B6</f>
        <v>14.4</v>
      </c>
      <c r="G6" s="18">
        <f t="shared" si="5"/>
        <v>43.2</v>
      </c>
      <c r="H6" s="18">
        <f t="shared" si="6"/>
        <v>25.92</v>
      </c>
      <c r="I6" s="18">
        <f>I5*$B6</f>
        <v>19.2</v>
      </c>
      <c r="J6" s="18">
        <f t="shared" si="7"/>
        <v>23.04</v>
      </c>
      <c r="K6" s="18">
        <f t="shared" si="1"/>
        <v>69.12</v>
      </c>
      <c r="L6" s="18">
        <f>L5*$B6</f>
        <v>9.6</v>
      </c>
      <c r="M6" s="18">
        <f t="shared" si="8"/>
        <v>28.8</v>
      </c>
      <c r="N6" s="18">
        <f t="shared" si="9"/>
        <v>17.28</v>
      </c>
      <c r="O6" s="18">
        <f>O5*$B6</f>
        <v>14.4</v>
      </c>
      <c r="P6" s="18">
        <f t="shared" si="10"/>
        <v>17.28</v>
      </c>
      <c r="Q6" s="18">
        <f t="shared" si="11"/>
        <v>51.84</v>
      </c>
      <c r="R6" s="18">
        <f t="shared" si="2"/>
        <v>81.6</v>
      </c>
    </row>
    <row r="7" ht="12.75" customHeight="1">
      <c r="A7" s="12" t="s">
        <v>26</v>
      </c>
      <c r="B7" s="21">
        <v>1.0</v>
      </c>
      <c r="C7" s="22">
        <f>C5*1.5</f>
        <v>30</v>
      </c>
      <c r="D7" s="18">
        <f t="shared" si="3"/>
        <v>60</v>
      </c>
      <c r="E7" s="18">
        <f t="shared" si="4"/>
        <v>60</v>
      </c>
      <c r="F7" s="22">
        <f>F5*1.5</f>
        <v>18</v>
      </c>
      <c r="G7" s="18">
        <f t="shared" si="5"/>
        <v>45</v>
      </c>
      <c r="H7" s="18">
        <f t="shared" si="6"/>
        <v>27</v>
      </c>
      <c r="I7" s="22">
        <f>I5*1.5</f>
        <v>24</v>
      </c>
      <c r="J7" s="18">
        <f t="shared" si="7"/>
        <v>24</v>
      </c>
      <c r="K7" s="18">
        <f t="shared" si="1"/>
        <v>72</v>
      </c>
      <c r="L7" s="22">
        <f>L5*1.5</f>
        <v>12</v>
      </c>
      <c r="M7" s="18">
        <f t="shared" si="8"/>
        <v>30</v>
      </c>
      <c r="N7" s="18">
        <f t="shared" si="9"/>
        <v>18</v>
      </c>
      <c r="O7" s="22">
        <f>O5*1.5</f>
        <v>18</v>
      </c>
      <c r="P7" s="18">
        <f t="shared" si="10"/>
        <v>18</v>
      </c>
      <c r="Q7" s="18">
        <f t="shared" si="11"/>
        <v>54</v>
      </c>
      <c r="R7" s="18">
        <f t="shared" si="2"/>
        <v>102</v>
      </c>
    </row>
    <row r="8" ht="12.75" customHeight="1">
      <c r="A8" s="12" t="s">
        <v>27</v>
      </c>
      <c r="B8" s="21">
        <v>1.3</v>
      </c>
      <c r="C8" s="18">
        <f>C7*$B8</f>
        <v>39</v>
      </c>
      <c r="D8" s="18">
        <f t="shared" si="3"/>
        <v>101.4</v>
      </c>
      <c r="E8" s="18">
        <f t="shared" si="4"/>
        <v>101.4</v>
      </c>
      <c r="F8" s="18">
        <f>F7*$B8</f>
        <v>23.4</v>
      </c>
      <c r="G8" s="18">
        <f t="shared" si="5"/>
        <v>76.05</v>
      </c>
      <c r="H8" s="18">
        <f t="shared" si="6"/>
        <v>45.63</v>
      </c>
      <c r="I8" s="18">
        <f>I7*$B8</f>
        <v>31.2</v>
      </c>
      <c r="J8" s="18">
        <f t="shared" si="7"/>
        <v>40.56</v>
      </c>
      <c r="K8" s="18">
        <f t="shared" si="1"/>
        <v>121.68</v>
      </c>
      <c r="L8" s="18">
        <f>L7*$B8</f>
        <v>15.6</v>
      </c>
      <c r="M8" s="18">
        <f t="shared" si="8"/>
        <v>50.7</v>
      </c>
      <c r="N8" s="18">
        <f t="shared" si="9"/>
        <v>30.42</v>
      </c>
      <c r="O8" s="18">
        <f>O7*$B8</f>
        <v>23.4</v>
      </c>
      <c r="P8" s="18">
        <f t="shared" si="10"/>
        <v>30.42</v>
      </c>
      <c r="Q8" s="18">
        <f t="shared" si="11"/>
        <v>91.26</v>
      </c>
      <c r="R8" s="18">
        <f t="shared" si="2"/>
        <v>132.6</v>
      </c>
    </row>
    <row r="9" ht="12.75" customHeight="1">
      <c r="A9" s="12" t="s">
        <v>28</v>
      </c>
      <c r="B9" s="21">
        <v>1.0</v>
      </c>
      <c r="C9" s="22">
        <f>C7*5/3</f>
        <v>50</v>
      </c>
      <c r="D9" s="18">
        <f t="shared" si="3"/>
        <v>100</v>
      </c>
      <c r="E9" s="18">
        <f t="shared" si="4"/>
        <v>100</v>
      </c>
      <c r="F9" s="22">
        <f>F7*5/3</f>
        <v>30</v>
      </c>
      <c r="G9" s="18">
        <f t="shared" si="5"/>
        <v>75</v>
      </c>
      <c r="H9" s="18">
        <f t="shared" si="6"/>
        <v>45</v>
      </c>
      <c r="I9" s="22">
        <f>I7*5/3</f>
        <v>40</v>
      </c>
      <c r="J9" s="18">
        <f t="shared" si="7"/>
        <v>40</v>
      </c>
      <c r="K9" s="18">
        <f t="shared" si="1"/>
        <v>120</v>
      </c>
      <c r="L9" s="22">
        <f>L7*5/3</f>
        <v>20</v>
      </c>
      <c r="M9" s="18">
        <f t="shared" si="8"/>
        <v>50</v>
      </c>
      <c r="N9" s="18">
        <f t="shared" si="9"/>
        <v>30</v>
      </c>
      <c r="O9" s="22">
        <f>O7*5/3</f>
        <v>30</v>
      </c>
      <c r="P9" s="18">
        <f t="shared" si="10"/>
        <v>30</v>
      </c>
      <c r="Q9" s="18">
        <f t="shared" si="11"/>
        <v>90</v>
      </c>
      <c r="R9" s="18">
        <f t="shared" si="2"/>
        <v>170</v>
      </c>
    </row>
    <row r="10" ht="12.75" customHeight="1">
      <c r="A10" s="12" t="s">
        <v>29</v>
      </c>
      <c r="B10" s="21">
        <v>1.4</v>
      </c>
      <c r="C10" s="18">
        <f>C9*$B10</f>
        <v>70</v>
      </c>
      <c r="D10" s="18">
        <f t="shared" si="3"/>
        <v>196</v>
      </c>
      <c r="E10" s="18">
        <f t="shared" si="4"/>
        <v>196</v>
      </c>
      <c r="F10" s="18">
        <f>F9*$B10</f>
        <v>42</v>
      </c>
      <c r="G10" s="18">
        <f t="shared" si="5"/>
        <v>147</v>
      </c>
      <c r="H10" s="18">
        <f t="shared" si="6"/>
        <v>88.2</v>
      </c>
      <c r="I10" s="18">
        <f>I9*$B10</f>
        <v>56</v>
      </c>
      <c r="J10" s="18">
        <f t="shared" si="7"/>
        <v>78.4</v>
      </c>
      <c r="K10" s="18">
        <f t="shared" si="1"/>
        <v>235.2</v>
      </c>
      <c r="L10" s="18">
        <f>L9*$B10</f>
        <v>28</v>
      </c>
      <c r="M10" s="18">
        <f t="shared" si="8"/>
        <v>98</v>
      </c>
      <c r="N10" s="18">
        <f t="shared" si="9"/>
        <v>58.8</v>
      </c>
      <c r="O10" s="18">
        <f>O9*$B10</f>
        <v>42</v>
      </c>
      <c r="P10" s="18">
        <f t="shared" si="10"/>
        <v>58.8</v>
      </c>
      <c r="Q10" s="18">
        <f t="shared" si="11"/>
        <v>176.4</v>
      </c>
      <c r="R10" s="18">
        <f t="shared" si="2"/>
        <v>238</v>
      </c>
    </row>
    <row r="11" ht="12.75" customHeight="1">
      <c r="A11" s="12" t="s">
        <v>30</v>
      </c>
      <c r="B11" s="21">
        <v>1.0</v>
      </c>
      <c r="C11" s="22">
        <f>C9*2</f>
        <v>100</v>
      </c>
      <c r="D11" s="18">
        <f t="shared" si="3"/>
        <v>200</v>
      </c>
      <c r="E11" s="18">
        <f t="shared" si="4"/>
        <v>200</v>
      </c>
      <c r="F11" s="22">
        <f>F9*2</f>
        <v>60</v>
      </c>
      <c r="G11" s="18">
        <f t="shared" si="5"/>
        <v>150</v>
      </c>
      <c r="H11" s="18">
        <f t="shared" si="6"/>
        <v>90</v>
      </c>
      <c r="I11" s="22">
        <f>I9*2</f>
        <v>80</v>
      </c>
      <c r="J11" s="18">
        <f t="shared" si="7"/>
        <v>80</v>
      </c>
      <c r="K11" s="18">
        <f t="shared" si="1"/>
        <v>240</v>
      </c>
      <c r="L11" s="22">
        <f>L9*2</f>
        <v>40</v>
      </c>
      <c r="M11" s="18">
        <f t="shared" si="8"/>
        <v>100</v>
      </c>
      <c r="N11" s="18">
        <f t="shared" si="9"/>
        <v>60</v>
      </c>
      <c r="O11" s="22">
        <f>O9*2</f>
        <v>60</v>
      </c>
      <c r="P11" s="18">
        <f t="shared" si="10"/>
        <v>60</v>
      </c>
      <c r="Q11" s="18">
        <f t="shared" si="11"/>
        <v>180</v>
      </c>
      <c r="R11" s="18">
        <f t="shared" si="2"/>
        <v>340</v>
      </c>
    </row>
    <row r="12" ht="12.75" customHeight="1">
      <c r="A12" s="12" t="s">
        <v>31</v>
      </c>
      <c r="B12" s="21">
        <v>1.5</v>
      </c>
      <c r="C12" s="18">
        <f>C11*$B12</f>
        <v>150</v>
      </c>
      <c r="D12" s="18">
        <f t="shared" si="3"/>
        <v>450</v>
      </c>
      <c r="E12" s="18">
        <f t="shared" si="4"/>
        <v>450</v>
      </c>
      <c r="F12" s="18">
        <f>F11*$B12</f>
        <v>90</v>
      </c>
      <c r="G12" s="18">
        <f t="shared" si="5"/>
        <v>337.5</v>
      </c>
      <c r="H12" s="18">
        <f t="shared" si="6"/>
        <v>202.5</v>
      </c>
      <c r="I12" s="18">
        <f>I11*$B12</f>
        <v>120</v>
      </c>
      <c r="J12" s="18">
        <f t="shared" si="7"/>
        <v>180</v>
      </c>
      <c r="K12" s="18">
        <f t="shared" si="1"/>
        <v>540</v>
      </c>
      <c r="L12" s="18">
        <f>L11*$B12</f>
        <v>60</v>
      </c>
      <c r="M12" s="18">
        <f t="shared" si="8"/>
        <v>225</v>
      </c>
      <c r="N12" s="18">
        <f t="shared" si="9"/>
        <v>135</v>
      </c>
      <c r="O12" s="18">
        <f>O11*$B12</f>
        <v>90</v>
      </c>
      <c r="P12" s="18">
        <f t="shared" si="10"/>
        <v>135</v>
      </c>
      <c r="Q12" s="18">
        <f t="shared" si="11"/>
        <v>405</v>
      </c>
      <c r="R12" s="18">
        <f t="shared" si="2"/>
        <v>510</v>
      </c>
    </row>
    <row r="13" ht="12.75" customHeight="1">
      <c r="A13" s="12" t="s">
        <v>32</v>
      </c>
      <c r="B13" s="21">
        <v>1.0</v>
      </c>
      <c r="C13" s="22">
        <f>C11*1.5</f>
        <v>150</v>
      </c>
      <c r="D13" s="18">
        <f t="shared" si="3"/>
        <v>300</v>
      </c>
      <c r="E13" s="18">
        <f t="shared" si="4"/>
        <v>300</v>
      </c>
      <c r="F13" s="22">
        <f>F11*1.5</f>
        <v>90</v>
      </c>
      <c r="G13" s="18">
        <f t="shared" si="5"/>
        <v>225</v>
      </c>
      <c r="H13" s="18">
        <f t="shared" si="6"/>
        <v>135</v>
      </c>
      <c r="I13" s="22">
        <f>I11*1.5</f>
        <v>120</v>
      </c>
      <c r="J13" s="18">
        <f t="shared" si="7"/>
        <v>120</v>
      </c>
      <c r="K13" s="18">
        <f t="shared" si="1"/>
        <v>360</v>
      </c>
      <c r="L13" s="22">
        <f>L11*1.5</f>
        <v>60</v>
      </c>
      <c r="M13" s="18">
        <f t="shared" si="8"/>
        <v>150</v>
      </c>
      <c r="N13" s="18">
        <f t="shared" si="9"/>
        <v>90</v>
      </c>
      <c r="O13" s="22">
        <f>O11*1.5</f>
        <v>90</v>
      </c>
      <c r="P13" s="18">
        <f t="shared" si="10"/>
        <v>90</v>
      </c>
      <c r="Q13" s="18">
        <f t="shared" si="11"/>
        <v>270</v>
      </c>
      <c r="R13" s="18">
        <f t="shared" si="2"/>
        <v>510</v>
      </c>
    </row>
    <row r="14" ht="12.75" customHeight="1">
      <c r="A14" s="12" t="s">
        <v>33</v>
      </c>
      <c r="B14" s="21">
        <v>1.6</v>
      </c>
      <c r="C14" s="18">
        <f>C13*$B14</f>
        <v>240</v>
      </c>
      <c r="D14" s="18">
        <f t="shared" si="3"/>
        <v>768</v>
      </c>
      <c r="E14" s="18">
        <f t="shared" si="4"/>
        <v>768</v>
      </c>
      <c r="F14" s="18">
        <f>F13*$B14</f>
        <v>144</v>
      </c>
      <c r="G14" s="18">
        <f t="shared" si="5"/>
        <v>576</v>
      </c>
      <c r="H14" s="18">
        <f t="shared" si="6"/>
        <v>345.6</v>
      </c>
      <c r="I14" s="18">
        <f>I13*$B14</f>
        <v>192</v>
      </c>
      <c r="J14" s="18">
        <f t="shared" si="7"/>
        <v>307.2</v>
      </c>
      <c r="K14" s="18">
        <f t="shared" si="1"/>
        <v>921.6</v>
      </c>
      <c r="L14" s="18">
        <f>L13*$B14</f>
        <v>96</v>
      </c>
      <c r="M14" s="18">
        <f t="shared" si="8"/>
        <v>384</v>
      </c>
      <c r="N14" s="18">
        <f t="shared" si="9"/>
        <v>230.4</v>
      </c>
      <c r="O14" s="18">
        <f>O13*$B14</f>
        <v>144</v>
      </c>
      <c r="P14" s="18">
        <f t="shared" si="10"/>
        <v>230.4</v>
      </c>
      <c r="Q14" s="18">
        <f t="shared" si="11"/>
        <v>691.2</v>
      </c>
      <c r="R14" s="18">
        <f t="shared" si="2"/>
        <v>816</v>
      </c>
    </row>
    <row r="15" ht="12.75" customHeight="1">
      <c r="A15" s="12" t="s">
        <v>34</v>
      </c>
      <c r="B15" s="21">
        <v>1.0</v>
      </c>
      <c r="C15" s="22">
        <f>C13*4/3</f>
        <v>200</v>
      </c>
      <c r="D15" s="18">
        <f t="shared" si="3"/>
        <v>400</v>
      </c>
      <c r="E15" s="18">
        <f t="shared" si="4"/>
        <v>400</v>
      </c>
      <c r="F15" s="22">
        <f>F13*4/3</f>
        <v>120</v>
      </c>
      <c r="G15" s="18">
        <f t="shared" si="5"/>
        <v>300</v>
      </c>
      <c r="H15" s="18">
        <f t="shared" si="6"/>
        <v>180</v>
      </c>
      <c r="I15" s="22">
        <f>I13*4/3</f>
        <v>160</v>
      </c>
      <c r="J15" s="18">
        <f t="shared" si="7"/>
        <v>160</v>
      </c>
      <c r="K15" s="18">
        <f t="shared" si="1"/>
        <v>480</v>
      </c>
      <c r="L15" s="22">
        <f>L13*4/3</f>
        <v>80</v>
      </c>
      <c r="M15" s="18">
        <f t="shared" si="8"/>
        <v>200</v>
      </c>
      <c r="N15" s="18">
        <f t="shared" si="9"/>
        <v>120</v>
      </c>
      <c r="O15" s="22">
        <f>O13*4/3</f>
        <v>120</v>
      </c>
      <c r="P15" s="18">
        <f t="shared" si="10"/>
        <v>120</v>
      </c>
      <c r="Q15" s="18">
        <f t="shared" si="11"/>
        <v>360</v>
      </c>
      <c r="R15" s="18">
        <f t="shared" si="2"/>
        <v>680</v>
      </c>
    </row>
    <row r="16" ht="12.75" customHeight="1">
      <c r="A16" s="12" t="s">
        <v>35</v>
      </c>
      <c r="B16" s="21">
        <v>1.7</v>
      </c>
      <c r="C16" s="18">
        <f>C15*$B16</f>
        <v>340</v>
      </c>
      <c r="D16" s="18">
        <f t="shared" si="3"/>
        <v>1156</v>
      </c>
      <c r="E16" s="18">
        <f t="shared" si="4"/>
        <v>1156</v>
      </c>
      <c r="F16" s="18">
        <f>F15*$B16</f>
        <v>204</v>
      </c>
      <c r="G16" s="18">
        <f t="shared" si="5"/>
        <v>867</v>
      </c>
      <c r="H16" s="18">
        <f t="shared" si="6"/>
        <v>520.2</v>
      </c>
      <c r="I16" s="18">
        <f>I15*$B16</f>
        <v>272</v>
      </c>
      <c r="J16" s="18">
        <f t="shared" si="7"/>
        <v>462.4</v>
      </c>
      <c r="K16" s="18">
        <f t="shared" si="1"/>
        <v>1387.2</v>
      </c>
      <c r="L16" s="18">
        <f>L15*$B16</f>
        <v>136</v>
      </c>
      <c r="M16" s="18">
        <f t="shared" si="8"/>
        <v>578</v>
      </c>
      <c r="N16" s="18">
        <f t="shared" si="9"/>
        <v>346.8</v>
      </c>
      <c r="O16" s="18">
        <f>O15*$B16</f>
        <v>204</v>
      </c>
      <c r="P16" s="18">
        <f t="shared" si="10"/>
        <v>346.8</v>
      </c>
      <c r="Q16" s="18">
        <f t="shared" si="11"/>
        <v>1040.4</v>
      </c>
      <c r="R16" s="18">
        <f t="shared" si="2"/>
        <v>1156</v>
      </c>
    </row>
    <row r="17" ht="12.75" customHeight="1">
      <c r="A17" s="12" t="s">
        <v>36</v>
      </c>
      <c r="B17" s="21">
        <v>1.0</v>
      </c>
      <c r="C17" s="22">
        <f>C15*1.5</f>
        <v>300</v>
      </c>
      <c r="D17" s="18">
        <f t="shared" si="3"/>
        <v>600</v>
      </c>
      <c r="E17" s="18">
        <f t="shared" si="4"/>
        <v>600</v>
      </c>
      <c r="F17" s="22">
        <f>F15*1.5</f>
        <v>180</v>
      </c>
      <c r="G17" s="18">
        <f t="shared" si="5"/>
        <v>450</v>
      </c>
      <c r="H17" s="18">
        <f t="shared" si="6"/>
        <v>270</v>
      </c>
      <c r="I17" s="22">
        <f>I15*1.5</f>
        <v>240</v>
      </c>
      <c r="J17" s="18">
        <f t="shared" si="7"/>
        <v>240</v>
      </c>
      <c r="K17" s="18">
        <f t="shared" si="1"/>
        <v>720</v>
      </c>
      <c r="L17" s="22">
        <f>L15*1.5</f>
        <v>120</v>
      </c>
      <c r="M17" s="18">
        <f t="shared" si="8"/>
        <v>300</v>
      </c>
      <c r="N17" s="18">
        <f t="shared" si="9"/>
        <v>180</v>
      </c>
      <c r="O17" s="22">
        <f>O15*1.5</f>
        <v>180</v>
      </c>
      <c r="P17" s="18">
        <f t="shared" si="10"/>
        <v>180</v>
      </c>
      <c r="Q17" s="18">
        <f t="shared" si="11"/>
        <v>540</v>
      </c>
      <c r="R17" s="18">
        <f t="shared" si="2"/>
        <v>1020</v>
      </c>
    </row>
    <row r="18" ht="12.75" customHeight="1">
      <c r="A18" s="12" t="s">
        <v>37</v>
      </c>
      <c r="B18" s="21">
        <v>1.8</v>
      </c>
      <c r="C18" s="18">
        <f>C17*$B18</f>
        <v>540</v>
      </c>
      <c r="D18" s="18">
        <f t="shared" si="3"/>
        <v>1944</v>
      </c>
      <c r="E18" s="18">
        <f t="shared" si="4"/>
        <v>1944</v>
      </c>
      <c r="F18" s="18">
        <f>F17*$B18</f>
        <v>324</v>
      </c>
      <c r="G18" s="18">
        <f t="shared" si="5"/>
        <v>1458</v>
      </c>
      <c r="H18" s="18">
        <f t="shared" si="6"/>
        <v>874.8</v>
      </c>
      <c r="I18" s="18">
        <f>I17*$B18</f>
        <v>432</v>
      </c>
      <c r="J18" s="18">
        <f t="shared" si="7"/>
        <v>777.6</v>
      </c>
      <c r="K18" s="18">
        <f t="shared" si="1"/>
        <v>2332.8</v>
      </c>
      <c r="L18" s="18">
        <f>L17*$B18</f>
        <v>216</v>
      </c>
      <c r="M18" s="18">
        <f t="shared" si="8"/>
        <v>972</v>
      </c>
      <c r="N18" s="18">
        <f t="shared" si="9"/>
        <v>583.2</v>
      </c>
      <c r="O18" s="18">
        <f>O17*$B18</f>
        <v>324</v>
      </c>
      <c r="P18" s="18">
        <f t="shared" si="10"/>
        <v>583.2</v>
      </c>
      <c r="Q18" s="18">
        <f t="shared" si="11"/>
        <v>1749.6</v>
      </c>
      <c r="R18" s="18">
        <f t="shared" si="2"/>
        <v>1836</v>
      </c>
    </row>
    <row r="19" ht="12.75" customHeight="1">
      <c r="A19" s="12" t="s">
        <v>38</v>
      </c>
      <c r="B19" s="21">
        <v>1.0</v>
      </c>
      <c r="C19" s="22">
        <f>C17*4/3</f>
        <v>400</v>
      </c>
      <c r="D19" s="18">
        <f t="shared" si="3"/>
        <v>800</v>
      </c>
      <c r="E19" s="18">
        <f t="shared" si="4"/>
        <v>800</v>
      </c>
      <c r="F19" s="22">
        <f>F17*4/3</f>
        <v>240</v>
      </c>
      <c r="G19" s="18">
        <f t="shared" si="5"/>
        <v>600</v>
      </c>
      <c r="H19" s="18">
        <f t="shared" si="6"/>
        <v>360</v>
      </c>
      <c r="I19" s="22">
        <f>I17*4/3</f>
        <v>320</v>
      </c>
      <c r="J19" s="18">
        <f t="shared" si="7"/>
        <v>320</v>
      </c>
      <c r="K19" s="18">
        <f t="shared" si="1"/>
        <v>960</v>
      </c>
      <c r="L19" s="22">
        <f>L17*4/3</f>
        <v>160</v>
      </c>
      <c r="M19" s="18">
        <f t="shared" si="8"/>
        <v>400</v>
      </c>
      <c r="N19" s="18">
        <f t="shared" si="9"/>
        <v>240</v>
      </c>
      <c r="O19" s="22">
        <f>O17*4/3</f>
        <v>240</v>
      </c>
      <c r="P19" s="18">
        <f t="shared" si="10"/>
        <v>240</v>
      </c>
      <c r="Q19" s="18">
        <f t="shared" si="11"/>
        <v>720</v>
      </c>
      <c r="R19" s="18">
        <f t="shared" si="2"/>
        <v>1360</v>
      </c>
    </row>
    <row r="20" ht="12.75" customHeight="1">
      <c r="A20" s="12" t="s">
        <v>39</v>
      </c>
      <c r="B20" s="21">
        <v>1.9</v>
      </c>
      <c r="C20" s="18">
        <f>C19*$B20</f>
        <v>760</v>
      </c>
      <c r="D20" s="18">
        <f t="shared" si="3"/>
        <v>2888</v>
      </c>
      <c r="E20" s="18">
        <f t="shared" si="4"/>
        <v>2888</v>
      </c>
      <c r="F20" s="18">
        <f>F19*$B20</f>
        <v>456</v>
      </c>
      <c r="G20" s="18">
        <f t="shared" si="5"/>
        <v>2166</v>
      </c>
      <c r="H20" s="18">
        <f t="shared" si="6"/>
        <v>1299.6</v>
      </c>
      <c r="I20" s="18">
        <f>I19*$B20</f>
        <v>608</v>
      </c>
      <c r="J20" s="18">
        <f t="shared" si="7"/>
        <v>1155.2</v>
      </c>
      <c r="K20" s="18">
        <f t="shared" si="1"/>
        <v>3465.6</v>
      </c>
      <c r="L20" s="18">
        <f>L19*$B20</f>
        <v>304</v>
      </c>
      <c r="M20" s="18">
        <f t="shared" si="8"/>
        <v>1444</v>
      </c>
      <c r="N20" s="18">
        <f t="shared" si="9"/>
        <v>866.4</v>
      </c>
      <c r="O20" s="18">
        <f>O19*$B20</f>
        <v>456</v>
      </c>
      <c r="P20" s="18">
        <f t="shared" si="10"/>
        <v>866.4</v>
      </c>
      <c r="Q20" s="18">
        <f t="shared" si="11"/>
        <v>2599.2</v>
      </c>
      <c r="R20" s="18">
        <f t="shared" si="2"/>
        <v>2584</v>
      </c>
    </row>
    <row r="21" ht="12.75" customHeight="1">
      <c r="A21" s="12" t="s">
        <v>40</v>
      </c>
      <c r="B21" s="21">
        <v>1.0</v>
      </c>
      <c r="C21" s="22">
        <f>C19*5/4</f>
        <v>500</v>
      </c>
      <c r="D21" s="18">
        <f t="shared" si="3"/>
        <v>1000</v>
      </c>
      <c r="E21" s="18">
        <f t="shared" si="4"/>
        <v>1000</v>
      </c>
      <c r="F21" s="22">
        <f>F19*5/4</f>
        <v>300</v>
      </c>
      <c r="G21" s="18">
        <f t="shared" si="5"/>
        <v>750</v>
      </c>
      <c r="H21" s="18">
        <f t="shared" si="6"/>
        <v>450</v>
      </c>
      <c r="I21" s="22">
        <f>I19*5/4</f>
        <v>400</v>
      </c>
      <c r="J21" s="18">
        <f t="shared" si="7"/>
        <v>400</v>
      </c>
      <c r="K21" s="18">
        <f t="shared" si="1"/>
        <v>1200</v>
      </c>
      <c r="L21" s="22">
        <f>L19*5/4</f>
        <v>200</v>
      </c>
      <c r="M21" s="18">
        <f t="shared" si="8"/>
        <v>500</v>
      </c>
      <c r="N21" s="18">
        <f t="shared" si="9"/>
        <v>300</v>
      </c>
      <c r="O21" s="22">
        <f>O19*5/4</f>
        <v>300</v>
      </c>
      <c r="P21" s="18">
        <f t="shared" si="10"/>
        <v>300</v>
      </c>
      <c r="Q21" s="18">
        <f t="shared" si="11"/>
        <v>900</v>
      </c>
      <c r="R21" s="18">
        <f t="shared" si="2"/>
        <v>1700</v>
      </c>
    </row>
    <row r="22" ht="12.75" customHeight="1">
      <c r="A22" s="12" t="s">
        <v>41</v>
      </c>
      <c r="B22" s="21">
        <v>2.0</v>
      </c>
      <c r="C22" s="18">
        <f>C21*$B22</f>
        <v>1000</v>
      </c>
      <c r="D22" s="18">
        <f t="shared" si="3"/>
        <v>4000</v>
      </c>
      <c r="E22" s="18">
        <f t="shared" si="4"/>
        <v>4000</v>
      </c>
      <c r="F22" s="18">
        <f>F21*$B22</f>
        <v>600</v>
      </c>
      <c r="G22" s="18">
        <f t="shared" si="5"/>
        <v>3000</v>
      </c>
      <c r="H22" s="18">
        <f t="shared" si="6"/>
        <v>1800</v>
      </c>
      <c r="I22" s="18">
        <f>I21*$B22</f>
        <v>800</v>
      </c>
      <c r="J22" s="18">
        <f t="shared" si="7"/>
        <v>1600</v>
      </c>
      <c r="K22" s="18">
        <f t="shared" si="1"/>
        <v>4800</v>
      </c>
      <c r="L22" s="18">
        <f>L21*$B22</f>
        <v>400</v>
      </c>
      <c r="M22" s="18">
        <f t="shared" si="8"/>
        <v>2000</v>
      </c>
      <c r="N22" s="18">
        <f t="shared" si="9"/>
        <v>1200</v>
      </c>
      <c r="O22" s="18">
        <f>O21*$B22</f>
        <v>600</v>
      </c>
      <c r="P22" s="18">
        <f t="shared" si="10"/>
        <v>1200</v>
      </c>
      <c r="Q22" s="18">
        <f t="shared" si="11"/>
        <v>3600</v>
      </c>
      <c r="R22" s="18">
        <f t="shared" si="2"/>
        <v>3400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6" width="16.29"/>
  </cols>
  <sheetData>
    <row r="1" ht="20.25" customHeight="1">
      <c r="A1" s="32"/>
      <c r="B1" s="33" t="s">
        <v>21</v>
      </c>
      <c r="C1" s="32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0.25" customHeight="1">
      <c r="A2" s="34"/>
      <c r="B2" s="35"/>
      <c r="C2" s="3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37" t="str">
        <f>'Test3 - A'!$A3</f>
        <v>Level 1 - Base</v>
      </c>
      <c r="B3" s="38">
        <f>'Test3 - A'!C3+'Test3 - A'!F3+'Test3 - A'!I3+'Test3 - A'!L3+'Test3 - A'!O3</f>
        <v>16</v>
      </c>
      <c r="C3" s="3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37" t="str">
        <f>'Test3 - A'!$A4</f>
        <v>Level 1 - Max</v>
      </c>
      <c r="B4" s="38">
        <f>'Test3 - A'!C4+'Test3 - A'!F4+'Test3 - A'!I4+'Test3 - A'!L4+'Test3 - A'!O4</f>
        <v>17.6</v>
      </c>
      <c r="C4" s="39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37" t="str">
        <f>'Test3 - A'!$A5</f>
        <v>Level 5 - Base</v>
      </c>
      <c r="B5" s="38">
        <f>'Test3 - A'!C5+'Test3 - A'!F5+'Test3 - A'!I5+'Test3 - A'!L5+'Test3 - A'!O5</f>
        <v>64</v>
      </c>
      <c r="C5" s="39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37" t="str">
        <f>'Test3 - A'!$A6</f>
        <v>Level 5 - Max</v>
      </c>
      <c r="B6" s="38">
        <f>'Test3 - A'!C6+'Test3 - A'!F6+'Test3 - A'!I6+'Test3 - A'!L6+'Test3 - A'!O6</f>
        <v>76.8</v>
      </c>
      <c r="C6" s="39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37" t="str">
        <f>'Test3 - A'!$A7</f>
        <v>Level 10 - Base</v>
      </c>
      <c r="B7" s="38">
        <f>'Test3 - A'!C7+'Test3 - A'!F7+'Test3 - A'!I7+'Test3 - A'!L7+'Test3 - A'!O7</f>
        <v>96</v>
      </c>
      <c r="C7" s="3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37" t="str">
        <f>'Test3 - A'!$A8</f>
        <v>Level 10 - Max</v>
      </c>
      <c r="B8" s="38">
        <f>'Test3 - A'!C8+'Test3 - A'!F8+'Test3 - A'!I8+'Test3 - A'!L8+'Test3 - A'!O8</f>
        <v>124.8</v>
      </c>
      <c r="C8" s="3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37" t="str">
        <f>'Test3 - A'!$A9</f>
        <v>Level 20 - Base</v>
      </c>
      <c r="B9" s="38">
        <f>'Test3 - A'!C9+'Test3 - A'!F9+'Test3 - A'!I9+'Test3 - A'!L9+'Test3 - A'!O9</f>
        <v>160</v>
      </c>
      <c r="C9" s="3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37" t="str">
        <f>'Test3 - A'!$A10</f>
        <v>Level 20 - Max</v>
      </c>
      <c r="B10" s="38">
        <f>'Test3 - A'!C10+'Test3 - A'!F10+'Test3 - A'!I10+'Test3 - A'!L10+'Test3 - A'!O10</f>
        <v>224</v>
      </c>
      <c r="C10" s="3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37" t="str">
        <f>'Test3 - A'!$A11</f>
        <v>Level 30 - Base</v>
      </c>
      <c r="B11" s="38">
        <f>'Test3 - A'!C11+'Test3 - A'!F11+'Test3 - A'!I11+'Test3 - A'!L11+'Test3 - A'!O11</f>
        <v>320</v>
      </c>
      <c r="C11" s="3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37" t="str">
        <f>'Test3 - A'!$A12</f>
        <v>Level 30 - Max</v>
      </c>
      <c r="B12" s="38">
        <f>'Test3 - A'!C12+'Test3 - A'!F12+'Test3 - A'!I12+'Test3 - A'!L12+'Test3 - A'!O12</f>
        <v>480</v>
      </c>
      <c r="C12" s="3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37" t="str">
        <f>'Test3 - A'!$A13</f>
        <v>Level 40 - Base</v>
      </c>
      <c r="B13" s="38">
        <f>'Test3 - A'!C13+'Test3 - A'!F13+'Test3 - A'!I13+'Test3 - A'!L13+'Test3 - A'!O13</f>
        <v>480</v>
      </c>
      <c r="C13" s="3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37" t="str">
        <f>'Test3 - A'!$A14</f>
        <v>Level 40 - Max</v>
      </c>
      <c r="B14" s="38">
        <f>'Test3 - A'!C14+'Test3 - A'!F14+'Test3 - A'!I14+'Test3 - A'!L14+'Test3 - A'!O14</f>
        <v>768</v>
      </c>
      <c r="C14" s="3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37" t="str">
        <f>'Test3 - A'!$A15</f>
        <v>Level 50 - Base</v>
      </c>
      <c r="B15" s="38">
        <f>'Test3 - A'!C15+'Test3 - A'!F15+'Test3 - A'!I15+'Test3 - A'!L15+'Test3 - A'!O15</f>
        <v>640</v>
      </c>
      <c r="C15" s="3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37" t="str">
        <f>'Test3 - A'!$A16</f>
        <v>Level 50 - Max</v>
      </c>
      <c r="B16" s="38">
        <f>'Test3 - A'!C16+'Test3 - A'!F16+'Test3 - A'!I16+'Test3 - A'!L16+'Test3 - A'!O16</f>
        <v>1088</v>
      </c>
      <c r="C16" s="3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37" t="str">
        <f>'Test3 - A'!$A17</f>
        <v>Level 70 - Base</v>
      </c>
      <c r="B17" s="38">
        <f>'Test3 - A'!C17+'Test3 - A'!F17+'Test3 - A'!I17+'Test3 - A'!L17+'Test3 - A'!O17</f>
        <v>960</v>
      </c>
      <c r="C17" s="3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37" t="str">
        <f>'Test3 - A'!$A18</f>
        <v>Level 70 - Max</v>
      </c>
      <c r="B18" s="38">
        <f>'Test3 - A'!C18+'Test3 - A'!F18+'Test3 - A'!I18+'Test3 - A'!L18+'Test3 - A'!O18</f>
        <v>1728</v>
      </c>
      <c r="C18" s="3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37" t="str">
        <f>'Test3 - A'!$A19</f>
        <v>Level 90 - Base</v>
      </c>
      <c r="B19" s="38">
        <f>'Test3 - A'!C19+'Test3 - A'!F19+'Test3 - A'!I19+'Test3 - A'!L19+'Test3 - A'!O19</f>
        <v>1280</v>
      </c>
      <c r="C19" s="3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37" t="str">
        <f>'Test3 - A'!$A20</f>
        <v>Level 90 - Max</v>
      </c>
      <c r="B20" s="38">
        <f>'Test3 - A'!C20+'Test3 - A'!F20+'Test3 - A'!I20+'Test3 - A'!L20+'Test3 - A'!O20</f>
        <v>2432</v>
      </c>
      <c r="C20" s="3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37" t="str">
        <f>'Test3 - A'!$A21</f>
        <v>Level 100 - Base</v>
      </c>
      <c r="B21" s="38">
        <f>'Test3 - A'!C21+'Test3 - A'!F21+'Test3 - A'!I21+'Test3 - A'!L21+'Test3 - A'!O21</f>
        <v>1600</v>
      </c>
      <c r="C21" s="3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37" t="str">
        <f>'Test3 - A'!$A22</f>
        <v>Level 100 - Max</v>
      </c>
      <c r="B22" s="38">
        <f>'Test3 - A'!C22+'Test3 - A'!F22+'Test3 - A'!I22+'Test3 - A'!L22+'Test3 - A'!O22</f>
        <v>3200</v>
      </c>
      <c r="C22" s="3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9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9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9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9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9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9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9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9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9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9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9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9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9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9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9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9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9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9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9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9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9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9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9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9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9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9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9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9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9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9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9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9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9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9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9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9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9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9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9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9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9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9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9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9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9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9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9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9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9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9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9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9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9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9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9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9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9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9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9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9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9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9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9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9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9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9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9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9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9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9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9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9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9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9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9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9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9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9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9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9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9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9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9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9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9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9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9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9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9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9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9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9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9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9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9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9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9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9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9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9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9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9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9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9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9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9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9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9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9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9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9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9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9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9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9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9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9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9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9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9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9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9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9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9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9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9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9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9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9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9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9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9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9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9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9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9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9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9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9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9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9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9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9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9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9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9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9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9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9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9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9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9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9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9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9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9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9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9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9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9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9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9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9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9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9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9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9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9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9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9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9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9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9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9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9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9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9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9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9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9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9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9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9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9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9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9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9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9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9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9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9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9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9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9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9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9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9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9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9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9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9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9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9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9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9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9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9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9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9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9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9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9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9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9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9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9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9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9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9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9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9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9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9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9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9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9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9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9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9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9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9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9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9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9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9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9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9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9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9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9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9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9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9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9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9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9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9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9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9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9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9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9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9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9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9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9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9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9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9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9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9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9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9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9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9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9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9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9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9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9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9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9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9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9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9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9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9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9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9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9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9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9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9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9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9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9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9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9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9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9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9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9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9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9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9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9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9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9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9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9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9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9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9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9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9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9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9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9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9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9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9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9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9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9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9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9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9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9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9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9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9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9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9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9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9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9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9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9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9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9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9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9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9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9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9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9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9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9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9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9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9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9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9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9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9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9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9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9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9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9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9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9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9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9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9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9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9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9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9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9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9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9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9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9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9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9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9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9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9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9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9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9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9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9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9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9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9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9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9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9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9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9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9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9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9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9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9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9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9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9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9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9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9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9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9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9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9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9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9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9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9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9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9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9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9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9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9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9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9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9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9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9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9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9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9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9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9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9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9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9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9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9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9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9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9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9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9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9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9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9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9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9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9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9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9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9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9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9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9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9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9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9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9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9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9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9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9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9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9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9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9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9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9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9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9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9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9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9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9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9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9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9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9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9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9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9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9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9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9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9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9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9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9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9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9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9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9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9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9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9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9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9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9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9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9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9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9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9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9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9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9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9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9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9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9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9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9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9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9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9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9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9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9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9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9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9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9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9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9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9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9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9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9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9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9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9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9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9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9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9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9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9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9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9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9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9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9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9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9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9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9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9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9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9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9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9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9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9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9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9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9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9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9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9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9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9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9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9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9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9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9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9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9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9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9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9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9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9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9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9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9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9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